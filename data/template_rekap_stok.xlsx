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IDA\Downloads\Dokumen Imel\"/>
    </mc:Choice>
  </mc:AlternateContent>
  <bookViews>
    <workbookView xWindow="0" yWindow="0" windowWidth="21600" windowHeight="9225"/>
  </bookViews>
  <sheets>
    <sheet name="Dell" sheetId="1" r:id="rId1"/>
    <sheet name="HP" sheetId="2" r:id="rId2"/>
    <sheet name="Dell lainnya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7" i="2" l="1"/>
  <c r="O47" i="2"/>
  <c r="N47" i="2"/>
  <c r="M47" i="2"/>
  <c r="J47" i="2"/>
  <c r="H47" i="2"/>
  <c r="R46" i="2"/>
  <c r="G46" i="2"/>
  <c r="I46" i="2" s="1"/>
  <c r="R45" i="2"/>
  <c r="L45" i="2"/>
  <c r="I45" i="2"/>
  <c r="R44" i="2"/>
  <c r="L44" i="2"/>
  <c r="I44" i="2"/>
  <c r="G44" i="2"/>
  <c r="R43" i="2"/>
  <c r="L43" i="2"/>
  <c r="I43" i="2"/>
  <c r="G43" i="2"/>
  <c r="R42" i="2"/>
  <c r="L42" i="2"/>
  <c r="I42" i="2"/>
  <c r="R41" i="2"/>
  <c r="L41" i="2"/>
  <c r="I41" i="2"/>
  <c r="R40" i="2"/>
  <c r="R39" i="2"/>
  <c r="R38" i="2"/>
  <c r="L38" i="2"/>
  <c r="I38" i="2"/>
  <c r="G38" i="2"/>
  <c r="R37" i="2"/>
  <c r="Q37" i="2"/>
  <c r="L37" i="2"/>
  <c r="I37" i="2"/>
  <c r="R36" i="2"/>
  <c r="L36" i="2"/>
  <c r="I36" i="2"/>
  <c r="Q35" i="2"/>
  <c r="L35" i="2"/>
  <c r="I35" i="2"/>
  <c r="G35" i="2"/>
  <c r="R35" i="2" s="1"/>
  <c r="R34" i="2"/>
  <c r="Q34" i="2"/>
  <c r="L34" i="2"/>
  <c r="I34" i="2"/>
  <c r="R33" i="2"/>
  <c r="L33" i="2"/>
  <c r="I33" i="2"/>
  <c r="R32" i="2"/>
  <c r="L32" i="2"/>
  <c r="I32" i="2"/>
  <c r="R31" i="2"/>
  <c r="L31" i="2"/>
  <c r="I31" i="2"/>
  <c r="R30" i="2"/>
  <c r="L30" i="2"/>
  <c r="I30" i="2"/>
  <c r="R29" i="2"/>
  <c r="L29" i="2"/>
  <c r="I29" i="2"/>
  <c r="R28" i="2"/>
  <c r="L28" i="2"/>
  <c r="I28" i="2"/>
  <c r="R27" i="2"/>
  <c r="L27" i="2"/>
  <c r="I27" i="2"/>
  <c r="G27" i="2"/>
  <c r="R26" i="2"/>
  <c r="L26" i="2"/>
  <c r="I26" i="2"/>
  <c r="R25" i="2"/>
  <c r="L24" i="2"/>
  <c r="G24" i="2"/>
  <c r="R24" i="2" s="1"/>
  <c r="R23" i="2"/>
  <c r="L23" i="2"/>
  <c r="I23" i="2"/>
  <c r="R22" i="2"/>
  <c r="L22" i="2"/>
  <c r="I22" i="2"/>
  <c r="I21" i="2"/>
  <c r="R20" i="2"/>
  <c r="L20" i="2"/>
  <c r="K20" i="2"/>
  <c r="K47" i="2" s="1"/>
  <c r="I20" i="2"/>
  <c r="R19" i="2"/>
  <c r="L19" i="2"/>
  <c r="L47" i="2" s="1"/>
  <c r="I19" i="2"/>
  <c r="R18" i="2"/>
  <c r="G17" i="2"/>
  <c r="R17" i="2" s="1"/>
  <c r="R16" i="2"/>
  <c r="R15" i="2"/>
  <c r="L15" i="2"/>
  <c r="I15" i="2"/>
  <c r="G15" i="2"/>
  <c r="R14" i="2"/>
  <c r="L14" i="2"/>
  <c r="I14" i="2"/>
  <c r="G14" i="2"/>
  <c r="Q13" i="2"/>
  <c r="Q47" i="2" s="1"/>
  <c r="L13" i="2"/>
  <c r="G13" i="2"/>
  <c r="R13" i="2" s="1"/>
  <c r="R12" i="2"/>
  <c r="L11" i="2"/>
  <c r="I11" i="2"/>
  <c r="R10" i="2"/>
  <c r="R9" i="2"/>
  <c r="R8" i="2"/>
  <c r="R6" i="2"/>
  <c r="R5" i="2"/>
  <c r="L4" i="2"/>
  <c r="G4" i="2"/>
  <c r="I4" i="2" s="1"/>
  <c r="C38" i="1"/>
  <c r="H29" i="1"/>
  <c r="J28" i="1"/>
  <c r="J27" i="1"/>
  <c r="J26" i="1"/>
  <c r="J25" i="1"/>
  <c r="I24" i="1"/>
  <c r="J23" i="1"/>
  <c r="I23" i="1"/>
  <c r="J22" i="1"/>
  <c r="J21" i="1"/>
  <c r="J20" i="1"/>
  <c r="J19" i="1"/>
  <c r="J18" i="1"/>
  <c r="J17" i="1"/>
  <c r="J16" i="1"/>
  <c r="G15" i="1"/>
  <c r="I15" i="1" s="1"/>
  <c r="J14" i="1"/>
  <c r="I14" i="1"/>
  <c r="J13" i="1"/>
  <c r="J12" i="1"/>
  <c r="J11" i="1"/>
  <c r="I10" i="1"/>
  <c r="J9" i="1"/>
  <c r="I9" i="1"/>
  <c r="G9" i="1"/>
  <c r="G29" i="1" s="1"/>
  <c r="J8" i="1"/>
  <c r="I7" i="1"/>
  <c r="E7" i="1"/>
  <c r="J6" i="1"/>
  <c r="J29" i="1" s="1"/>
  <c r="I6" i="1"/>
  <c r="J5" i="1"/>
  <c r="I24" i="2" l="1"/>
  <c r="I47" i="2" s="1"/>
  <c r="G47" i="2"/>
  <c r="R4" i="2"/>
  <c r="R47" i="2" s="1"/>
  <c r="I13" i="2"/>
</calcChain>
</file>

<file path=xl/sharedStrings.xml><?xml version="1.0" encoding="utf-8"?>
<sst xmlns="http://schemas.openxmlformats.org/spreadsheetml/2006/main" count="382" uniqueCount="276">
  <si>
    <t>TYPE</t>
  </si>
  <si>
    <t>Part ID GSK</t>
  </si>
  <si>
    <t>Nama Barang</t>
  </si>
  <si>
    <t>Barang Datang Dari</t>
  </si>
  <si>
    <t>PN Bag</t>
  </si>
  <si>
    <t>Tas</t>
  </si>
  <si>
    <t>Stock</t>
  </si>
  <si>
    <t>Sell Out</t>
  </si>
  <si>
    <t>Total</t>
  </si>
  <si>
    <t>Total Real</t>
  </si>
  <si>
    <t>Breakdown Total Real</t>
  </si>
  <si>
    <t>NOTES</t>
  </si>
  <si>
    <t>SKU Tas</t>
  </si>
  <si>
    <t>SKU Monitor</t>
  </si>
  <si>
    <t>LATITUDE</t>
  </si>
  <si>
    <t>GA3440I5V1</t>
  </si>
  <si>
    <t xml:space="preserve">Latitude 3440-i51235U-8GB-512GB-W11H-U-1Y- FINGERPRINT
</t>
  </si>
  <si>
    <t>PT. ADAKOM INTERNATIONAL TECHNOLOGY</t>
  </si>
  <si>
    <t>Dump 71 unit, tanggal 4/11/2024</t>
  </si>
  <si>
    <t>GLDNMBGPKL</t>
  </si>
  <si>
    <t>GA3440I5V2</t>
  </si>
  <si>
    <t>Latitude 3440-i51235U-16GB-512GB-W11P-U-3Y-FINGERPRINT</t>
  </si>
  <si>
    <t>DELL ESSENTIAL BACKPACK 15 - ES1520P</t>
  </si>
  <si>
    <r>
      <rPr>
        <b/>
        <sz val="11"/>
        <color theme="1"/>
        <rFont val="Calibri"/>
        <family val="2"/>
        <scheme val="minor"/>
      </rPr>
      <t>STOCK JKT :</t>
    </r>
    <r>
      <rPr>
        <sz val="11"/>
        <color theme="1"/>
        <rFont val="Calibri"/>
        <family val="2"/>
        <scheme val="minor"/>
      </rPr>
      <t xml:space="preserve">
- Pallazo (1) 
</t>
    </r>
    <r>
      <rPr>
        <b/>
        <sz val="11"/>
        <color theme="1"/>
        <rFont val="Calibri"/>
        <family val="2"/>
        <scheme val="minor"/>
      </rPr>
      <t>*TOTAL JKT = (1)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 xml:space="preserve">MAPPING :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Mas fungherry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*TOTAL MAPPING = (1)</t>
    </r>
  </si>
  <si>
    <r>
      <rPr>
        <b/>
        <sz val="11"/>
        <color theme="1"/>
        <rFont val="Calibri"/>
        <family val="2"/>
        <scheme val="minor"/>
      </rPr>
      <t>STOCK JKT :</t>
    </r>
    <r>
      <rPr>
        <sz val="11"/>
        <color theme="1"/>
        <rFont val="Calibri"/>
        <family val="2"/>
        <scheme val="minor"/>
      </rPr>
      <t xml:space="preserve">
- Pallazo (226)
</t>
    </r>
    <r>
      <rPr>
        <b/>
        <sz val="11"/>
        <color theme="1"/>
        <rFont val="Calibri"/>
        <family val="2"/>
        <scheme val="minor"/>
      </rPr>
      <t xml:space="preserve">*TOTAL JKT = (226)
STOCK DEMO IT TALK :
</t>
    </r>
    <r>
      <rPr>
        <sz val="11"/>
        <color theme="1"/>
        <rFont val="Calibri"/>
        <family val="2"/>
        <scheme val="minor"/>
      </rPr>
      <t>- IT TALK SBY (2)</t>
    </r>
    <r>
      <rPr>
        <b/>
        <sz val="11"/>
        <color theme="1"/>
        <rFont val="Calibri"/>
        <family val="2"/>
        <scheme val="minor"/>
      </rPr>
      <t xml:space="preserve">
*TOTAL DEMO IT TALK = (2)
</t>
    </r>
    <r>
      <rPr>
        <b/>
        <sz val="11"/>
        <color rgb="FFFF0000"/>
        <rFont val="Calibri"/>
        <family val="2"/>
        <scheme val="minor"/>
      </rPr>
      <t>MAPPING :</t>
    </r>
    <r>
      <rPr>
        <b/>
        <sz val="11"/>
        <color theme="1"/>
        <rFont val="Calibri"/>
        <family val="2"/>
        <scheme val="minor"/>
      </rPr>
      <t xml:space="preserve">
- Kak Grace (60)
*TOTAL MAPPING = (60)
STOCK (228) - MAPPING (60) = 168 FREE</t>
    </r>
  </si>
  <si>
    <t>PT. TECH DATA ADVANCED SOLUTIONS INDONESIA</t>
  </si>
  <si>
    <t>GA7330I5V1</t>
  </si>
  <si>
    <t>Latitude 7330 2in1 FHD i5 1245U 16GB 512SSD IRIS 11 PRO 3YR</t>
  </si>
  <si>
    <r>
      <rPr>
        <b/>
        <sz val="11"/>
        <color theme="1"/>
        <rFont val="Calibri"/>
        <family val="2"/>
        <scheme val="minor"/>
      </rPr>
      <t xml:space="preserve">
STOCK JKT :</t>
    </r>
    <r>
      <rPr>
        <sz val="11"/>
        <color theme="1"/>
        <rFont val="Calibri"/>
        <family val="2"/>
        <scheme val="minor"/>
      </rPr>
      <t xml:space="preserve">
Pallazo (6)
</t>
    </r>
    <r>
      <rPr>
        <b/>
        <sz val="11"/>
        <color theme="1"/>
        <rFont val="Calibri"/>
        <family val="2"/>
        <scheme val="minor"/>
      </rPr>
      <t>*TOTAL JKT = (6)
STOCK DEMO IT TALK :</t>
    </r>
    <r>
      <rPr>
        <sz val="11"/>
        <color theme="1"/>
        <rFont val="Calibri"/>
        <family val="2"/>
        <scheme val="minor"/>
      </rPr>
      <t xml:space="preserve">
- IT TALK SMG (1)
- IT TAK SBY (1)</t>
    </r>
    <r>
      <rPr>
        <b/>
        <sz val="11"/>
        <color theme="1"/>
        <rFont val="Calibri"/>
        <family val="2"/>
        <scheme val="minor"/>
      </rPr>
      <t xml:space="preserve">
*TOTAL DEMO IT TALK = (2)
</t>
    </r>
    <r>
      <rPr>
        <b/>
        <sz val="11"/>
        <color rgb="FFFF0000"/>
        <rFont val="Calibri"/>
        <family val="2"/>
        <scheme val="minor"/>
      </rPr>
      <t xml:space="preserve">MAPPING :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Kak Pipit - RSIJ (5)
- Kak puput - Mr DIY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*TOTAL MAPPING = (6)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/>
    </r>
  </si>
  <si>
    <t>ok</t>
  </si>
  <si>
    <t>Tidak Bundling dengan Tas. Biasanya Pakai Tas Punya 3440</t>
  </si>
  <si>
    <t>GA3440I7V1</t>
  </si>
  <si>
    <t>Latitude 3440-i71355U-16GB-512GB-W11P-U-3Y-FINGERPRINT</t>
  </si>
  <si>
    <r>
      <t xml:space="preserve">STOCK JKT :
</t>
    </r>
    <r>
      <rPr>
        <sz val="11"/>
        <color theme="1"/>
        <rFont val="Calibri"/>
        <family val="2"/>
        <scheme val="minor"/>
      </rPr>
      <t>- Pallazo (21)</t>
    </r>
    <r>
      <rPr>
        <b/>
        <sz val="11"/>
        <color theme="1"/>
        <rFont val="Calibri"/>
        <family val="2"/>
        <scheme val="minor"/>
      </rPr>
      <t xml:space="preserve">
*TOTAL JKT = (21)
</t>
    </r>
    <r>
      <rPr>
        <b/>
        <sz val="11"/>
        <color rgb="FFFF0000"/>
        <rFont val="Calibri"/>
        <family val="2"/>
        <scheme val="minor"/>
      </rPr>
      <t>DEMO  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Pegadaian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*TOTAL DEMO = (1)</t>
    </r>
    <r>
      <rPr>
        <b/>
        <sz val="11"/>
        <color theme="1"/>
        <rFont val="Calibri"/>
        <family val="2"/>
        <scheme val="minor"/>
      </rPr>
      <t xml:space="preserve">
STOCK DEMO IT TALK :
</t>
    </r>
    <r>
      <rPr>
        <sz val="11"/>
        <color theme="1"/>
        <rFont val="Calibri"/>
        <family val="2"/>
        <scheme val="minor"/>
      </rPr>
      <t>- IT TALK JKT (1)
- IT TALK SEMARANG (1)</t>
    </r>
    <r>
      <rPr>
        <b/>
        <sz val="11"/>
        <color theme="1"/>
        <rFont val="Calibri"/>
        <family val="2"/>
        <scheme val="minor"/>
      </rPr>
      <t xml:space="preserve">
*TOTAL DEMO IT TALK = (2)
</t>
    </r>
    <r>
      <rPr>
        <b/>
        <sz val="11"/>
        <color rgb="FFFF0000"/>
        <rFont val="Calibri"/>
        <family val="2"/>
        <scheme val="minor"/>
      </rPr>
      <t xml:space="preserve">MAPPING :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Kak puput - DIY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*TOTAL MAPPING =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/>
    </r>
  </si>
  <si>
    <t>GLESSEBPV1/GLDNMBGPKL</t>
  </si>
  <si>
    <t>GLDNMBGPKL/GLECOLOOPB</t>
  </si>
  <si>
    <t>GA3440I7V2</t>
  </si>
  <si>
    <t>Latitude 3440 i7 1355U - 8GB - 512GB SSD - W11 PRO - 3YR</t>
  </si>
  <si>
    <r>
      <t xml:space="preserve">
STOCK JKT :
</t>
    </r>
    <r>
      <rPr>
        <sz val="11"/>
        <color theme="1"/>
        <rFont val="Calibri"/>
        <family val="2"/>
        <scheme val="minor"/>
      </rPr>
      <t>- Pallazo (5)</t>
    </r>
    <r>
      <rPr>
        <b/>
        <sz val="11"/>
        <color theme="1"/>
        <rFont val="Calibri"/>
        <family val="2"/>
        <scheme val="minor"/>
      </rPr>
      <t xml:space="preserve">
*TOTAL JKT = (5)
</t>
    </r>
    <r>
      <rPr>
        <b/>
        <sz val="11"/>
        <color rgb="FFFF0000"/>
        <rFont val="Calibri"/>
        <family val="2"/>
        <scheme val="minor"/>
      </rPr>
      <t xml:space="preserve">MAPPING :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- Kak pipit - Daesang (1)
- Mba Irwin - Fuluso (1)</t>
    </r>
    <r>
      <rPr>
        <b/>
        <sz val="11"/>
        <color rgb="FFFF0000"/>
        <rFont val="Calibri"/>
        <family val="2"/>
        <scheme val="minor"/>
      </rPr>
      <t xml:space="preserve">
*TOTAL MAPPING = (2)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/>
    </r>
  </si>
  <si>
    <t>GA5440I7V1</t>
  </si>
  <si>
    <t>Latitude 5440 I7-1365U - 16GB - 1TB - WIN11 PRO - 3YR</t>
  </si>
  <si>
    <t>PT. SYNNEX METRODATA INDONESIA</t>
  </si>
  <si>
    <r>
      <t xml:space="preserve">
STOCK JKT :
</t>
    </r>
    <r>
      <rPr>
        <sz val="11"/>
        <color theme="1"/>
        <rFont val="Calibri"/>
        <family val="2"/>
        <scheme val="minor"/>
      </rPr>
      <t>- Pallazo (0)</t>
    </r>
    <r>
      <rPr>
        <b/>
        <sz val="11"/>
        <color theme="1"/>
        <rFont val="Calibri"/>
        <family val="2"/>
        <scheme val="minor"/>
      </rPr>
      <t xml:space="preserve">
*TOTAL JKT = (0)
</t>
    </r>
  </si>
  <si>
    <t>GLECOLOOPB (GLECOLOOPB)</t>
  </si>
  <si>
    <t>GA7440I7V4</t>
  </si>
  <si>
    <t>Latitude 7440 i7-1355U-16GB-512GB-W11P-U-3Y No Touch</t>
  </si>
  <si>
    <r>
      <t xml:space="preserve">STOCK JKT :
</t>
    </r>
    <r>
      <rPr>
        <sz val="11"/>
        <color theme="1"/>
        <rFont val="Calibri"/>
        <family val="2"/>
        <scheme val="minor"/>
      </rPr>
      <t>- Pallazo (0)</t>
    </r>
    <r>
      <rPr>
        <b/>
        <sz val="11"/>
        <color theme="1"/>
        <rFont val="Calibri"/>
        <family val="2"/>
        <scheme val="minor"/>
      </rPr>
      <t xml:space="preserve">
*TOTAL JKT = (0)</t>
    </r>
    <r>
      <rPr>
        <b/>
        <sz val="11"/>
        <color rgb="FFFF0000"/>
        <rFont val="Calibri"/>
        <family val="2"/>
        <scheme val="minor"/>
      </rPr>
      <t/>
    </r>
  </si>
  <si>
    <t>GA7440I7V2</t>
  </si>
  <si>
    <t>Latitude 7440 I7-1365U-16GB-512GB-W11P-U-3Y Touch</t>
  </si>
  <si>
    <r>
      <rPr>
        <b/>
        <sz val="11"/>
        <color rgb="FFFF0000"/>
        <rFont val="Calibri"/>
        <family val="2"/>
        <scheme val="minor"/>
      </rPr>
      <t xml:space="preserve">
STOCK JKT :
</t>
    </r>
    <r>
      <rPr>
        <sz val="11"/>
        <color rgb="FFFF0000"/>
        <rFont val="Calibri"/>
        <family val="2"/>
        <scheme val="minor"/>
      </rPr>
      <t>- Pallazo (2) 1 unit pak igun-bekas service</t>
    </r>
    <r>
      <rPr>
        <b/>
        <sz val="11"/>
        <color rgb="FFFF0000"/>
        <rFont val="Calibri"/>
        <family val="2"/>
        <scheme val="minor"/>
      </rPr>
      <t xml:space="preserve">
*TOTAL JKT = (2)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 xml:space="preserve">MAPPING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- Kak Puput - MR DIY (1)-tgg PO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 xml:space="preserve">*TOTAL MAPPING = (1)
</t>
    </r>
    <r>
      <rPr>
        <b/>
        <sz val="11"/>
        <rFont val="Calibri"/>
        <family val="2"/>
        <scheme val="minor"/>
      </rPr>
      <t/>
    </r>
  </si>
  <si>
    <t>GLECOLOOPB</t>
  </si>
  <si>
    <t>GA7440I7V3</t>
  </si>
  <si>
    <t>GA7450U7V1</t>
  </si>
  <si>
    <t>Latitude 7450 Ultra 7-155U-16GB-512GB-W11P-3Y No Touch</t>
  </si>
  <si>
    <r>
      <t xml:space="preserve">STOCK JKT :
</t>
    </r>
    <r>
      <rPr>
        <sz val="11"/>
        <color theme="1"/>
        <rFont val="Calibri"/>
        <family val="2"/>
        <scheme val="minor"/>
      </rPr>
      <t>- Pallazo (1)</t>
    </r>
    <r>
      <rPr>
        <b/>
        <sz val="11"/>
        <color theme="1"/>
        <rFont val="Calibri"/>
        <family val="2"/>
        <scheme val="minor"/>
      </rPr>
      <t xml:space="preserve">
*TOTAL JKT = (1)
</t>
    </r>
    <r>
      <rPr>
        <b/>
        <sz val="11"/>
        <color rgb="FFFF0000"/>
        <rFont val="Calibri"/>
        <family val="2"/>
        <scheme val="minor"/>
      </rPr>
      <t xml:space="preserve">
MAPPING :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Mas Funghery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*TOTAL MAPPING = (1)</t>
    </r>
  </si>
  <si>
    <t>GA7450U7V2</t>
  </si>
  <si>
    <t>Latitude 7450 Ultra 7-165U vPro-16GB-512GB-W11P-3Y Touch</t>
  </si>
  <si>
    <r>
      <t xml:space="preserve">
STOCK JKT :
</t>
    </r>
    <r>
      <rPr>
        <sz val="11"/>
        <color theme="1"/>
        <rFont val="Calibri"/>
        <family val="2"/>
        <scheme val="minor"/>
      </rPr>
      <t>- Pallazo (0)</t>
    </r>
    <r>
      <rPr>
        <b/>
        <sz val="11"/>
        <color theme="1"/>
        <rFont val="Calibri"/>
        <family val="2"/>
        <scheme val="minor"/>
      </rPr>
      <t xml:space="preserve">
*TOTAL JKT = (0)
</t>
    </r>
    <r>
      <rPr>
        <b/>
        <sz val="11"/>
        <color rgb="FFFF0000"/>
        <rFont val="Calibri"/>
        <family val="2"/>
        <scheme val="minor"/>
      </rPr>
      <t/>
    </r>
  </si>
  <si>
    <t xml:space="preserve">
OPTIPLEX</t>
  </si>
  <si>
    <t>GB7010SFF5</t>
  </si>
  <si>
    <t>Optiplex 7010 SFF -i3-13100-8GB-512GB-W11H-U-3Y</t>
  </si>
  <si>
    <r>
      <rPr>
        <b/>
        <sz val="11"/>
        <color theme="1"/>
        <rFont val="Calibri"/>
        <family val="2"/>
        <scheme val="minor"/>
      </rPr>
      <t xml:space="preserve">
STOCK JKT :</t>
    </r>
    <r>
      <rPr>
        <sz val="11"/>
        <color theme="1"/>
        <rFont val="Calibri"/>
        <family val="2"/>
        <scheme val="minor"/>
      </rPr>
      <t xml:space="preserve">
- Pallazo (8)
</t>
    </r>
    <r>
      <rPr>
        <b/>
        <sz val="11"/>
        <color theme="1"/>
        <rFont val="Calibri"/>
        <family val="2"/>
        <scheme val="minor"/>
      </rPr>
      <t>*TOTAL JKT = (8)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STOCK DEMO IT TALK :</t>
    </r>
    <r>
      <rPr>
        <sz val="11"/>
        <color theme="1"/>
        <rFont val="Calibri"/>
        <family val="2"/>
        <scheme val="minor"/>
      </rPr>
      <t xml:space="preserve">
- IT TALK JKT (2)
- IT TALK SMG (1)
- IT TALK SBY (1)
</t>
    </r>
    <r>
      <rPr>
        <b/>
        <sz val="11"/>
        <color theme="1"/>
        <rFont val="Calibri"/>
        <family val="2"/>
        <scheme val="minor"/>
      </rPr>
      <t xml:space="preserve">*TOTAL DEMO IT TALK = (4)
</t>
    </r>
    <r>
      <rPr>
        <b/>
        <sz val="11"/>
        <color rgb="FFFF0000"/>
        <rFont val="Calibri"/>
        <family val="2"/>
        <scheme val="minor"/>
      </rPr>
      <t>SERVICE :</t>
    </r>
    <r>
      <rPr>
        <b/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>- UNIT DI CEK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*TOTAL SERVICE =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/>
    </r>
  </si>
  <si>
    <t>GEE2020H</t>
  </si>
  <si>
    <t>GB7010SFF6</t>
  </si>
  <si>
    <t>Otiplex 7010 Tower - PC-MT7010-i513500-16GB-512GB-W11H-U-3Y</t>
  </si>
  <si>
    <t>PT. SYNEX METRODATA INDONESIA</t>
  </si>
  <si>
    <r>
      <t xml:space="preserve">STOCK JKT :
</t>
    </r>
    <r>
      <rPr>
        <sz val="11"/>
        <color theme="1"/>
        <rFont val="Calibri"/>
        <family val="2"/>
        <scheme val="minor"/>
      </rPr>
      <t>- Pallazo (0)</t>
    </r>
    <r>
      <rPr>
        <b/>
        <sz val="11"/>
        <color theme="1"/>
        <rFont val="Calibri"/>
        <family val="2"/>
        <scheme val="minor"/>
      </rPr>
      <t xml:space="preserve">
*TOTAL JKT = (0)
</t>
    </r>
    <r>
      <rPr>
        <b/>
        <sz val="11"/>
        <color rgb="FFFF0000"/>
        <rFont val="Calibri"/>
        <family val="2"/>
        <scheme val="minor"/>
      </rPr>
      <t/>
    </r>
  </si>
  <si>
    <t>GEE2222H</t>
  </si>
  <si>
    <t>GB7010I7V3</t>
  </si>
  <si>
    <t>Optiplex 7010 Tower Plus  i7 13700-16GB-512GB-W11P-3Y</t>
  </si>
  <si>
    <r>
      <rPr>
        <b/>
        <sz val="11"/>
        <color theme="1"/>
        <rFont val="Calibri"/>
        <family val="2"/>
        <scheme val="minor"/>
      </rPr>
      <t xml:space="preserve">
STOCK JKT :</t>
    </r>
    <r>
      <rPr>
        <sz val="11"/>
        <color theme="1"/>
        <rFont val="Calibri"/>
        <family val="2"/>
        <scheme val="minor"/>
      </rPr>
      <t xml:space="preserve">
- Pallazo (40)
</t>
    </r>
    <r>
      <rPr>
        <b/>
        <sz val="11"/>
        <color theme="1"/>
        <rFont val="Calibri"/>
        <family val="2"/>
        <scheme val="minor"/>
      </rPr>
      <t xml:space="preserve">*TOTAL JKT = (40)  
</t>
    </r>
    <r>
      <rPr>
        <b/>
        <sz val="11"/>
        <color rgb="FFFF0000"/>
        <rFont val="Calibri"/>
        <family val="2"/>
        <scheme val="minor"/>
      </rPr>
      <t>MAPPING :</t>
    </r>
    <r>
      <rPr>
        <sz val="11"/>
        <color theme="1"/>
        <rFont val="Calibri"/>
        <family val="2"/>
        <scheme val="minor"/>
      </rPr>
      <t xml:space="preserve">
- Kak Pipit - VTS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*TOTAL MAPPING = (1)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/>
    </r>
  </si>
  <si>
    <t>GB3000SFF</t>
  </si>
  <si>
    <t xml:space="preserve">DELL OPTIPLEX 3000 SFF I3-12100-4GB-1TB  </t>
  </si>
  <si>
    <r>
      <rPr>
        <b/>
        <sz val="11"/>
        <color theme="1"/>
        <rFont val="Calibri"/>
        <family val="2"/>
        <scheme val="minor"/>
      </rPr>
      <t>STOCK JKT :</t>
    </r>
    <r>
      <rPr>
        <sz val="11"/>
        <color theme="1"/>
        <rFont val="Calibri"/>
        <family val="2"/>
        <scheme val="minor"/>
      </rPr>
      <t xml:space="preserve">
- Pallazo (15) 
</t>
    </r>
    <r>
      <rPr>
        <b/>
        <sz val="11"/>
        <color theme="1"/>
        <rFont val="Calibri"/>
        <family val="2"/>
        <scheme val="minor"/>
      </rPr>
      <t>*TOTAL JKT = (15)</t>
    </r>
  </si>
  <si>
    <t>Barang Project (Bisa diiklankan)</t>
  </si>
  <si>
    <t xml:space="preserve">GEE2020H  </t>
  </si>
  <si>
    <t>GB7410I7V1</t>
  </si>
  <si>
    <t>OPTIPLEX 7410 AIO Plus i7-13700-8GB-512GB-W11P-AMD-3Y Touch</t>
  </si>
  <si>
    <r>
      <t xml:space="preserve">0
</t>
    </r>
    <r>
      <rPr>
        <b/>
        <sz val="11"/>
        <color rgb="FFFF0000"/>
        <rFont val="Calibri"/>
        <family val="2"/>
        <scheme val="minor"/>
      </rPr>
      <t/>
    </r>
  </si>
  <si>
    <t>DELL SERVER</t>
  </si>
  <si>
    <t>GDT150V1</t>
  </si>
  <si>
    <t>POWEREDGE T150 SERVER XEON E-2324G-8GB-1TB-DVDRW-3Y</t>
  </si>
  <si>
    <r>
      <rPr>
        <b/>
        <sz val="11"/>
        <color theme="1"/>
        <rFont val="Calibri"/>
        <family val="2"/>
        <scheme val="minor"/>
      </rPr>
      <t xml:space="preserve">
STOCK JKT :</t>
    </r>
    <r>
      <rPr>
        <sz val="11"/>
        <color theme="1"/>
        <rFont val="Calibri"/>
        <family val="2"/>
        <scheme val="minor"/>
      </rPr>
      <t xml:space="preserve">
- Pallazo (0) - PID GDT150E2X1 
</t>
    </r>
    <r>
      <rPr>
        <b/>
        <sz val="11"/>
        <color theme="1"/>
        <rFont val="Calibri"/>
        <family val="2"/>
        <scheme val="minor"/>
      </rPr>
      <t xml:space="preserve">*TOTAL JKT = (0)
</t>
    </r>
    <r>
      <rPr>
        <b/>
        <sz val="11"/>
        <color rgb="FFFF0000"/>
        <rFont val="Calibri"/>
        <family val="2"/>
        <scheme val="minor"/>
      </rPr>
      <t/>
    </r>
  </si>
  <si>
    <t>PT. VISI INTI SINERGI</t>
  </si>
  <si>
    <t>GDR250V1</t>
  </si>
  <si>
    <t>POWEREDGE R250 SERVER XEON E-2324G-16GB-1,2TB-DVDRW-3Y</t>
  </si>
  <si>
    <t>GDR750XSV1</t>
  </si>
  <si>
    <t>POWEREDGE R750 SERVER XEON SILVER 4314-16GB-4TB-DVDRW-3Y</t>
  </si>
  <si>
    <t>PRECISION</t>
  </si>
  <si>
    <t>GAM358I7V1</t>
  </si>
  <si>
    <t>MOBILE PRECISION WORKSTATION 3581 i7-13800H vPro-16GB-512GB-W11P-3Y</t>
  </si>
  <si>
    <t xml:space="preserve">
</t>
  </si>
  <si>
    <t xml:space="preserve">mouse : GLMS3320V1 dan tas </t>
  </si>
  <si>
    <t>GB3660I7V1</t>
  </si>
  <si>
    <t>DELL PRECISION 3660 TOWER i7-13700-16GB-512GB SSD-1TB HDD-Nvidia T1000-W11P-3Y</t>
  </si>
  <si>
    <r>
      <rPr>
        <b/>
        <sz val="11"/>
        <color theme="1"/>
        <rFont val="Calibri"/>
        <family val="2"/>
        <scheme val="minor"/>
      </rPr>
      <t>STOCK JKT :</t>
    </r>
    <r>
      <rPr>
        <sz val="11"/>
        <color theme="1"/>
        <rFont val="Calibri"/>
        <family val="2"/>
        <scheme val="minor"/>
      </rPr>
      <t xml:space="preserve">
- Pallazo (0)
</t>
    </r>
    <r>
      <rPr>
        <b/>
        <sz val="11"/>
        <color theme="1"/>
        <rFont val="Calibri"/>
        <family val="2"/>
        <scheme val="minor"/>
      </rPr>
      <t xml:space="preserve">*TOTAL JKT = (0)
</t>
    </r>
    <r>
      <rPr>
        <b/>
        <sz val="11"/>
        <color rgb="FFFF0000"/>
        <rFont val="Calibri"/>
        <family val="2"/>
        <scheme val="minor"/>
      </rPr>
      <t/>
    </r>
  </si>
  <si>
    <t>GEP2422H</t>
  </si>
  <si>
    <t>TOTAL</t>
  </si>
  <si>
    <t>GSK SKU</t>
  </si>
  <si>
    <t>Product Description</t>
  </si>
  <si>
    <t>QTY</t>
  </si>
  <si>
    <t xml:space="preserve">OPTIPLEX 7010 SFF I3-8GB-512GB-WIN 11 HOME  </t>
  </si>
  <si>
    <t>DELL MONITOR 19.5 - E2020H</t>
  </si>
  <si>
    <t>DELL LATITUDE 3440 I7-1355U-16GB-512GB-WIN 11 PRO</t>
  </si>
  <si>
    <t>DELL LATITUDE 3440 I5-1235U-16GB-512GB-WIN 11 PRO</t>
  </si>
  <si>
    <t>PART 
NUMBER</t>
  </si>
  <si>
    <t>Barang datang Dari</t>
  </si>
  <si>
    <t>PN BAG</t>
  </si>
  <si>
    <t>STOCK
(FREE)</t>
  </si>
  <si>
    <t>STOCK ALOKASI 
(IGUN)</t>
  </si>
  <si>
    <t>TOTAL STOCK</t>
  </si>
  <si>
    <t>HILANG - CURI
STOCK OPNAME 
PER-01/NOV/22
(IGUN)</t>
  </si>
  <si>
    <t>Sell Out
(IGUN)</t>
  </si>
  <si>
    <t>TOTAL STOCK
(IGUN)</t>
  </si>
  <si>
    <t>RETURE 
KE ECS/SYNEX
(FREE)</t>
  </si>
  <si>
    <t>HILANG KRN TERBAKAR
(FREE)</t>
  </si>
  <si>
    <t>HILANG - CURI
STOCK OPNAME 
PER-01/NOV/22
(FREE)</t>
  </si>
  <si>
    <t>DEMO
 TERJUAL
blm buat so</t>
  </si>
  <si>
    <t>Sell Out
(FREE)</t>
  </si>
  <si>
    <t>Total
REAL</t>
  </si>
  <si>
    <t>BREAKDOWN TOTAL REAL</t>
  </si>
  <si>
    <t>BREAKDOWN PAK IGUN</t>
  </si>
  <si>
    <t>PC</t>
  </si>
  <si>
    <t>641A3PA</t>
  </si>
  <si>
    <t>HP PC AIO 200-G4-i5-10210U-8GB-1TB-Intel® UHD Graphics-21.5Inch-W11H</t>
  </si>
  <si>
    <t>PT TECH DATA ADVANCED SOLUTIONS INDONESIA</t>
  </si>
  <si>
    <t>-</t>
  </si>
  <si>
    <t xml:space="preserve">58.824
</t>
  </si>
  <si>
    <t>6N440PA</t>
  </si>
  <si>
    <t>HP PROONE 440 G9 ALL IN ONE i5-12500T-8GB-512GB-WIN 11 PRO-3 YEARS</t>
  </si>
  <si>
    <t>PT SYNEX METRODATA INDONESIA</t>
  </si>
  <si>
    <t>803W9PA</t>
  </si>
  <si>
    <t>HP AIO BU PON 240 G9 i3-1215U-8GB-512GB-WIN11H</t>
  </si>
  <si>
    <r>
      <t xml:space="preserve">
</t>
    </r>
    <r>
      <rPr>
        <b/>
        <sz val="11"/>
        <rFont val="Calibri"/>
        <family val="2"/>
      </rPr>
      <t/>
    </r>
  </si>
  <si>
    <t>8M0Y5PA</t>
  </si>
  <si>
    <t>HP MAVERICK 280 G9 i5-12500 16GB 512GB WIN11P</t>
  </si>
  <si>
    <t xml:space="preserve">PT. ADAKOM INTERNATIONAL TECHNOLOGY </t>
  </si>
  <si>
    <r>
      <rPr>
        <b/>
        <sz val="11"/>
        <rFont val="Calibri"/>
        <family val="2"/>
      </rPr>
      <t xml:space="preserve">
STOCK DEMO :
</t>
    </r>
    <r>
      <rPr>
        <sz val="11"/>
        <rFont val="Calibri"/>
        <family val="2"/>
      </rPr>
      <t>-Demo Internal - Team Pak eddy (1) buat inventaris</t>
    </r>
    <r>
      <rPr>
        <b/>
        <sz val="11"/>
        <rFont val="Calibri"/>
        <family val="2"/>
      </rPr>
      <t xml:space="preserve">
*TOTAL DEMO = (1)
</t>
    </r>
    <r>
      <rPr>
        <b/>
        <sz val="11"/>
        <color rgb="FFFF0000"/>
        <rFont val="Calibri"/>
        <family val="2"/>
      </rPr>
      <t/>
    </r>
  </si>
  <si>
    <t xml:space="preserve">Izin Dtg Siang Ke Sinseurut Dan Tidak Kembali </t>
  </si>
  <si>
    <t>8M0Y6PA</t>
  </si>
  <si>
    <t>HP MAVERICK 280 G9 i5-12500-16GB-512GB-WIN11H</t>
  </si>
  <si>
    <t>8M0Y9PA</t>
  </si>
  <si>
    <t>HP MAVERICK 280 G9 i7-12700 - 16GB - 512GB - WIN11P</t>
  </si>
  <si>
    <r>
      <rPr>
        <b/>
        <sz val="11"/>
        <rFont val="Calibri"/>
        <family val="2"/>
      </rPr>
      <t>STOCK JKT :</t>
    </r>
    <r>
      <rPr>
        <sz val="11"/>
        <rFont val="Calibri"/>
        <family val="2"/>
      </rPr>
      <t xml:space="preserve">
- PALLAZO (16)
</t>
    </r>
    <r>
      <rPr>
        <b/>
        <sz val="11"/>
        <rFont val="Calibri"/>
        <family val="2"/>
      </rPr>
      <t>*TOTAL JKT = (16)</t>
    </r>
  </si>
  <si>
    <t xml:space="preserve">B91FKAT </t>
  </si>
  <si>
    <t xml:space="preserve">HP PRO 240 G10 AIO I5-1334U-8GB-SSD 512 GB-WARRANTY 3/3/3       </t>
  </si>
  <si>
    <t>PT TECH DATA ADVANCED SOLUTIONS</t>
  </si>
  <si>
    <t>240 - i3</t>
  </si>
  <si>
    <t>526H3PA</t>
  </si>
  <si>
    <t>HP 240-G8-i3-1115G4-4GB-256GB-14Inch-W10H</t>
  </si>
  <si>
    <t>1E7D7AA</t>
  </si>
  <si>
    <t xml:space="preserve">HP ACCESSORIES PREDULE 15.6 TOP LOAD </t>
  </si>
  <si>
    <r>
      <rPr>
        <b/>
        <sz val="11"/>
        <color theme="1"/>
        <rFont val="Calibri"/>
        <family val="2"/>
      </rPr>
      <t xml:space="preserve">STOCK JKT :
</t>
    </r>
    <r>
      <rPr>
        <sz val="11"/>
        <color theme="1"/>
        <rFont val="Calibri"/>
        <family val="2"/>
      </rPr>
      <t xml:space="preserve">- PALLAZO (1) - </t>
    </r>
    <r>
      <rPr>
        <sz val="11"/>
        <color rgb="FFFF0000"/>
        <rFont val="Calibri"/>
        <family val="2"/>
      </rPr>
      <t>Unit selesai service, replace motherboard</t>
    </r>
    <r>
      <rPr>
        <b/>
        <sz val="11"/>
        <color theme="1"/>
        <rFont val="Calibri"/>
        <family val="2"/>
      </rPr>
      <t xml:space="preserve">
*TOTAL JKT = (1)</t>
    </r>
  </si>
  <si>
    <t>61G47PA</t>
  </si>
  <si>
    <t>HP 240-G8-i3-1115G4-4GB-256GB-Intel® UHD Graphics-14Inch-W11H</t>
  </si>
  <si>
    <t>PT. SENTRAL TEKNO SELARAS (Barang dari Tokped)</t>
  </si>
  <si>
    <t>HP PREDULE 15.6 TOPLOAD</t>
  </si>
  <si>
    <t>HP PRELUDE 15.6 TOP LOAD</t>
  </si>
  <si>
    <t xml:space="preserve">29.412
</t>
  </si>
  <si>
    <t>9J1W4PT</t>
  </si>
  <si>
    <t>HP 240-G9-I3-1215U-8GB-256GB-W11H</t>
  </si>
  <si>
    <t>IE7D7AA</t>
  </si>
  <si>
    <t>HP TAS ACCESOSORIES PRELUDE 15.6 TOP LOAD</t>
  </si>
  <si>
    <t>A6RB9PT</t>
  </si>
  <si>
    <t>HP 240 G10 I3-1315U 8GB--256GB-WIN 11 HOME--3/3/3-FINGERPRINT</t>
  </si>
  <si>
    <t>PT ADAKOM INTERNASIONAL TECHNOLOGY</t>
  </si>
  <si>
    <t>In Box</t>
  </si>
  <si>
    <t>SLING BAG 15,6" PRELUDE</t>
  </si>
  <si>
    <t xml:space="preserve">Demo semarang terjual non PPN ke macro </t>
  </si>
  <si>
    <t>B13TTPC</t>
  </si>
  <si>
    <t xml:space="preserve">HP 240R G9 I3-1315U-8GB-256GB SSD-W11H-1/1/0        </t>
  </si>
  <si>
    <t>PT ECS INDO JAYA</t>
  </si>
  <si>
    <t>240-i5</t>
  </si>
  <si>
    <t>365K6PA</t>
  </si>
  <si>
    <t>HP 240-G8-I5-1035G1-8GB-256GB-Intel® UHD Graphics-14Inch-W10H</t>
  </si>
  <si>
    <t>H5M90AA</t>
  </si>
  <si>
    <t>HP BUSINESS BACKPACK (UP TO 17.3")</t>
  </si>
  <si>
    <r>
      <t>STOCK DEMO :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>- IT TALK AMBAS (1)</t>
    </r>
    <r>
      <rPr>
        <b/>
        <sz val="11"/>
        <rFont val="Calibri"/>
        <family val="2"/>
      </rPr>
      <t xml:space="preserve"> - </t>
    </r>
    <r>
      <rPr>
        <b/>
        <sz val="11"/>
        <color rgb="FFFF0000"/>
        <rFont val="Calibri"/>
        <family val="2"/>
      </rPr>
      <t>Barang Display Toko</t>
    </r>
    <r>
      <rPr>
        <b/>
        <sz val="11"/>
        <rFont val="Calibri"/>
        <family val="2"/>
      </rPr>
      <t xml:space="preserve">
</t>
    </r>
    <r>
      <rPr>
        <b/>
        <u/>
        <sz val="11"/>
        <rFont val="Calibri"/>
        <family val="2"/>
      </rPr>
      <t>*TOTAL DEMO = (1)</t>
    </r>
  </si>
  <si>
    <t xml:space="preserve">2.352.941
</t>
  </si>
  <si>
    <t>61G52PA</t>
  </si>
  <si>
    <t>HP 240-G8-i5-1135G7-8GB-512GB-Intel® UHD Graphics-14Inch-W11H</t>
  </si>
  <si>
    <r>
      <rPr>
        <b/>
        <u/>
        <sz val="11"/>
        <color rgb="FFFF0000"/>
        <rFont val="Calibri"/>
        <family val="2"/>
      </rPr>
      <t xml:space="preserve">ALOKASI PAK IGUN STOCK JKT :
</t>
    </r>
    <r>
      <rPr>
        <sz val="11"/>
        <color theme="1"/>
        <rFont val="Calibri"/>
        <family val="2"/>
      </rPr>
      <t>- PALLAZO (2)</t>
    </r>
    <r>
      <rPr>
        <b/>
        <sz val="11"/>
        <color rgb="FFFF0000"/>
        <rFont val="Calibri"/>
        <family val="2"/>
      </rPr>
      <t xml:space="preserve">
*TOTAL ALOKASI IGUN JKT (2)
</t>
    </r>
    <r>
      <rPr>
        <b/>
        <sz val="11"/>
        <color theme="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SERVICE :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- Mati Total 2)
- FAN EROR (1)</t>
    </r>
    <r>
      <rPr>
        <b/>
        <sz val="11"/>
        <color theme="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 xml:space="preserve">*TOTAL SERVICE = (3)
MAPPING :
</t>
    </r>
    <r>
      <rPr>
        <sz val="11"/>
        <rFont val="Calibri"/>
        <family val="2"/>
      </rPr>
      <t>- Kak Pipit - BTL (1)</t>
    </r>
    <r>
      <rPr>
        <b/>
        <sz val="11"/>
        <color rgb="FFFF0000"/>
        <rFont val="Calibri"/>
        <family val="2"/>
      </rPr>
      <t xml:space="preserve">
*TOTAL Mapping = (1)</t>
    </r>
  </si>
  <si>
    <r>
      <t xml:space="preserve">STOCK :
</t>
    </r>
    <r>
      <rPr>
        <sz val="11"/>
        <rFont val="Calibri"/>
        <family val="2"/>
        <scheme val="minor"/>
      </rPr>
      <t>- PALLAZO (10)
- STAGING (54)</t>
    </r>
    <r>
      <rPr>
        <b/>
        <sz val="11"/>
        <rFont val="Calibri"/>
        <family val="2"/>
        <scheme val="minor"/>
      </rPr>
      <t xml:space="preserve">
*TOTAL JKT (64)
STOCK IT TALK :
</t>
    </r>
    <r>
      <rPr>
        <sz val="11"/>
        <rFont val="Calibri"/>
        <family val="2"/>
        <scheme val="minor"/>
      </rPr>
      <t>- IT TALK SBY (3)
- IT TALK SMG (1)</t>
    </r>
    <r>
      <rPr>
        <b/>
        <sz val="11"/>
        <rFont val="Calibri"/>
        <family val="2"/>
        <scheme val="minor"/>
      </rPr>
      <t xml:space="preserve">
*TOTAL IT TALK = (4)</t>
    </r>
  </si>
  <si>
    <t>TOKOPEDIA</t>
  </si>
  <si>
    <t>5CG1492VJT, tidak dilaporkan ke HP karena beli di TOKPED</t>
  </si>
  <si>
    <t>61G54PA</t>
  </si>
  <si>
    <t>HP 240-G8 NB-i5-1135G7-8GB-512GB-14Inch-W11P</t>
  </si>
  <si>
    <t>78R28PA</t>
  </si>
  <si>
    <t>HP 240-G9-i5-1235U-8GB-512GB-Intel® Iris® Xᵉ Graphics-14Inch-W11H</t>
  </si>
  <si>
    <t>HP PROLUDE 15.6 TOP LOAD</t>
  </si>
  <si>
    <r>
      <t xml:space="preserve">STOCK JKT :
- PALLAZO (0) 
*TOTAL JKT (0) 
</t>
    </r>
    <r>
      <rPr>
        <b/>
        <sz val="11"/>
        <color rgb="FFFF0000"/>
        <rFont val="Calibri"/>
        <family val="2"/>
      </rPr>
      <t/>
    </r>
  </si>
  <si>
    <t>B98GZPC</t>
  </si>
  <si>
    <t>HP 240R G9 CORE I5-120U/8GB/SSD 512GB/WIN11HOME-OFFICE 24</t>
  </si>
  <si>
    <r>
      <t xml:space="preserve">
STOCK JKT :
</t>
    </r>
    <r>
      <rPr>
        <sz val="11"/>
        <rFont val="Calibri"/>
        <family val="2"/>
      </rPr>
      <t>- PALLAZO (0)</t>
    </r>
    <r>
      <rPr>
        <b/>
        <sz val="11"/>
        <rFont val="Calibri"/>
        <family val="2"/>
      </rPr>
      <t xml:space="preserve">
*TOTAL JKT (0) </t>
    </r>
    <r>
      <rPr>
        <b/>
        <sz val="11"/>
        <rFont val="Calibri"/>
        <family val="2"/>
      </rPr>
      <t xml:space="preserve">
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/>
    </r>
  </si>
  <si>
    <t>240-i7</t>
  </si>
  <si>
    <t>36F56PA</t>
  </si>
  <si>
    <r>
      <t>HP 240-G8-i7-1065G7-8GB-512GB-Radeon 620 Graphics-14Inch-W10H</t>
    </r>
    <r>
      <rPr>
        <b/>
        <sz val="11"/>
        <rFont val="Calibri"/>
        <family val="2"/>
      </rPr>
      <t xml:space="preserve"> </t>
    </r>
  </si>
  <si>
    <r>
      <rPr>
        <b/>
        <u/>
        <sz val="11"/>
        <rFont val="Calibri"/>
        <family val="2"/>
      </rPr>
      <t>STOCK IT TALK</t>
    </r>
    <r>
      <rPr>
        <b/>
        <sz val="11"/>
        <rFont val="Calibri"/>
        <family val="2"/>
      </rPr>
      <t xml:space="preserve"> :
</t>
    </r>
    <r>
      <rPr>
        <sz val="11"/>
        <rFont val="Calibri"/>
        <family val="2"/>
      </rPr>
      <t>- IT TALK SBY (1)
- IT TALK AMBAS (1)</t>
    </r>
    <r>
      <rPr>
        <b/>
        <sz val="11"/>
        <rFont val="Calibri"/>
        <family val="2"/>
      </rPr>
      <t xml:space="preserve">
*TOTAL IT TALK = (2)
</t>
    </r>
    <r>
      <rPr>
        <b/>
        <u/>
        <sz val="11"/>
        <rFont val="Calibri"/>
        <family val="2"/>
      </rPr>
      <t xml:space="preserve">
</t>
    </r>
    <r>
      <rPr>
        <b/>
        <u/>
        <sz val="11"/>
        <color rgb="FFFF0000"/>
        <rFont val="Calibri"/>
        <family val="2"/>
      </rPr>
      <t>SERVICES</t>
    </r>
    <r>
      <rPr>
        <b/>
        <sz val="11"/>
        <color rgb="FFFF0000"/>
        <rFont val="Calibri"/>
        <family val="2"/>
      </rPr>
      <t xml:space="preserve"> : (1) - unit tidak bisa dilakukan service</t>
    </r>
  </si>
  <si>
    <t xml:space="preserve">HP 240 G8-I7-1065G7-8GB-512GB-WIN10 HOME </t>
  </si>
  <si>
    <t>PT. ACECOM TECHNOLOGY INFORMATIKA</t>
  </si>
  <si>
    <t>HP BUSINESS BACKPACK (UPTO 17,3") PN.H5M90AA</t>
  </si>
  <si>
    <t>61G56PA</t>
  </si>
  <si>
    <r>
      <t>HP 240G8 i7-1165G7 14 16GB/128 PC/</t>
    </r>
    <r>
      <rPr>
        <b/>
        <sz val="11"/>
        <rFont val="Calibri"/>
        <family val="2"/>
        <scheme val="minor"/>
      </rPr>
      <t>Win11Pro</t>
    </r>
  </si>
  <si>
    <t>HP 240-G8-i7-1165G7-16GB-128GB-1TB-14Inch-W11P</t>
  </si>
  <si>
    <r>
      <t xml:space="preserve">STOCK IT TALK :
</t>
    </r>
    <r>
      <rPr>
        <sz val="11"/>
        <rFont val="Calibri"/>
        <family val="2"/>
      </rPr>
      <t xml:space="preserve">- IT TALK AMBAS (1) - </t>
    </r>
    <r>
      <rPr>
        <sz val="11"/>
        <color rgb="FFFF0000"/>
        <rFont val="Calibri"/>
        <family val="2"/>
      </rPr>
      <t>Barang Display Toko</t>
    </r>
    <r>
      <rPr>
        <b/>
        <sz val="11"/>
        <rFont val="Calibri"/>
        <family val="2"/>
      </rPr>
      <t xml:space="preserve">
*TOTAL IT TALK = (1)</t>
    </r>
  </si>
  <si>
    <t xml:space="preserve">1.176.471
</t>
  </si>
  <si>
    <t>365K5PA</t>
  </si>
  <si>
    <t>HP 240-G8-i7-1065G7-8GB-1TB-Radeon RX 620 2GB-14Inch-W10P</t>
  </si>
  <si>
    <t>HP ACCSESSORIES PREDULE 15.6 TOP LOAD</t>
  </si>
  <si>
    <t>November</t>
  </si>
  <si>
    <r>
      <rPr>
        <b/>
        <u/>
        <sz val="11"/>
        <rFont val="Calibri"/>
        <family val="2"/>
      </rPr>
      <t xml:space="preserve">
STOCK JKT</t>
    </r>
    <r>
      <rPr>
        <b/>
        <sz val="11"/>
        <rFont val="Calibri"/>
        <family val="2"/>
      </rPr>
      <t xml:space="preserve"> :
</t>
    </r>
    <r>
      <rPr>
        <sz val="11"/>
        <rFont val="Calibri"/>
        <family val="2"/>
      </rPr>
      <t xml:space="preserve">- PALLAZO (45)
</t>
    </r>
    <r>
      <rPr>
        <b/>
        <sz val="11"/>
        <rFont val="Calibri"/>
        <family val="2"/>
      </rPr>
      <t xml:space="preserve">*TOTAL JKT </t>
    </r>
    <r>
      <rPr>
        <sz val="11"/>
        <rFont val="Calibri"/>
        <family val="2"/>
      </rPr>
      <t xml:space="preserve">(45) - 8 OK, 3 repacking dus
</t>
    </r>
    <r>
      <rPr>
        <b/>
        <sz val="11"/>
        <rFont val="Calibri"/>
        <family val="2"/>
      </rPr>
      <t xml:space="preserve">
</t>
    </r>
    <r>
      <rPr>
        <b/>
        <u/>
        <sz val="11"/>
        <rFont val="Calibri"/>
        <family val="2"/>
      </rPr>
      <t xml:space="preserve">STOCK </t>
    </r>
    <r>
      <rPr>
        <b/>
        <sz val="11"/>
        <rFont val="Calibri"/>
        <family val="2"/>
      </rPr>
      <t xml:space="preserve"> :</t>
    </r>
    <r>
      <rPr>
        <sz val="11"/>
        <rFont val="Calibri"/>
        <family val="2"/>
      </rPr>
      <t xml:space="preserve">
- HP CEK UNIT (2)-</t>
    </r>
    <r>
      <rPr>
        <b/>
        <sz val="11"/>
        <color rgb="FFFF0000"/>
        <rFont val="Calibri"/>
        <family val="2"/>
      </rPr>
      <t>barang tdk kembali karena diklaim DOA ke HP</t>
    </r>
    <r>
      <rPr>
        <sz val="11"/>
        <rFont val="Calibri"/>
        <family val="2"/>
      </rPr>
      <t xml:space="preserve">
</t>
    </r>
    <r>
      <rPr>
        <b/>
        <sz val="11"/>
        <rFont val="Calibri"/>
        <family val="2"/>
      </rPr>
      <t>*TOTAL  = (2)</t>
    </r>
    <r>
      <rPr>
        <b/>
        <sz val="11"/>
        <color rgb="FFFF0000"/>
        <rFont val="Calibri"/>
        <family val="2"/>
      </rPr>
      <t xml:space="preserve">
SERVICE MILIK CUSTOMER :
</t>
    </r>
    <r>
      <rPr>
        <sz val="11"/>
        <color theme="1"/>
        <rFont val="Calibri"/>
        <family val="2"/>
      </rPr>
      <t>- Unit demo IT Talk Semarang, investaris KEI (layar blok) : (1)
- Returan MMS &amp; DTS (battery drop) : (4), Memori penuh : (8)
- No Charger Baterai 0% (2)</t>
    </r>
    <r>
      <rPr>
        <b/>
        <sz val="11"/>
        <color rgb="FFFF0000"/>
        <rFont val="Calibri"/>
        <family val="2"/>
      </rPr>
      <t xml:space="preserve">
*TOTAL SERVICE = 15
</t>
    </r>
    <r>
      <rPr>
        <b/>
        <sz val="11"/>
        <rFont val="Calibri"/>
        <family val="2"/>
      </rPr>
      <t/>
    </r>
  </si>
  <si>
    <t>61G55PA</t>
  </si>
  <si>
    <t>NB-245G8 ATHLON 3050U-WIN-4GB-256</t>
  </si>
  <si>
    <t>56K70PA</t>
  </si>
  <si>
    <t xml:space="preserve">HP 245-G8-R3-5300U-4GB-256GB-14Inch-W10H </t>
  </si>
  <si>
    <t>HP SLING BAG PRELUDE 15.6 TOPLOAD</t>
  </si>
  <si>
    <t>56K72PA</t>
  </si>
  <si>
    <t xml:space="preserve">HP 245-G8-R5-5500U-8GB-512GB-14Inch-W10H                                                     </t>
  </si>
  <si>
    <t>78R35PA</t>
  </si>
  <si>
    <t>HP 245-G9-R5-5625U-8GB-512GB-AMD Radeon Graphics-14Inch-W11H</t>
  </si>
  <si>
    <t>PT. TECHDATA ADVANCED SOLUTIONS INDONESIA</t>
  </si>
  <si>
    <t>PB 440</t>
  </si>
  <si>
    <t>36U80PA</t>
  </si>
  <si>
    <t xml:space="preserve">HP PB 440-G8-i5-1135G7-8GB-512GB-14Inch-W10P         </t>
  </si>
  <si>
    <t>HP ACCESSORIES PREDULE 15.6 TOP LOAD</t>
  </si>
  <si>
    <t>36U83PA</t>
  </si>
  <si>
    <t>HP PB 440-G8-i5-1135G7-8GB-512GB-NVIDIA MX450 2GB-14Inch-W10P</t>
  </si>
  <si>
    <t>HP ACCESSORIES PREDULE 15.6 TOPLOAD</t>
  </si>
  <si>
    <t>36U81PA</t>
  </si>
  <si>
    <t xml:space="preserve">HP PB 440-G8-i7-1165G7-8GB-512GB-14Inch-W10P </t>
  </si>
  <si>
    <t>HP ACCESSORIES PREDULE 15,6 TOP LOAD</t>
  </si>
  <si>
    <r>
      <rPr>
        <b/>
        <sz val="11"/>
        <rFont val="Calibri"/>
        <family val="2"/>
      </rPr>
      <t>STOCK :</t>
    </r>
    <r>
      <rPr>
        <sz val="11"/>
        <rFont val="Calibri"/>
        <family val="2"/>
      </rPr>
      <t xml:space="preserve">
- PALLAZO (0) : DUS BAGUS
</t>
    </r>
    <r>
      <rPr>
        <b/>
        <sz val="11"/>
        <rFont val="Calibri"/>
        <family val="2"/>
      </rPr>
      <t>*TOTAL JKT (0)</t>
    </r>
    <r>
      <rPr>
        <b/>
        <sz val="11"/>
        <rFont val="Calibri"/>
        <family val="2"/>
      </rPr>
      <t/>
    </r>
  </si>
  <si>
    <t>5CD2419SS2, cek SN INI</t>
  </si>
  <si>
    <t>6P0H2PA</t>
  </si>
  <si>
    <t xml:space="preserve"> HP PB 440-G9-i5-1235U-8GB-512GB-14Inch-W11P</t>
  </si>
  <si>
    <t>HP ACCESSORIES PRELUDE 15.6 TOP LOAD</t>
  </si>
  <si>
    <t>6P0H4PA</t>
  </si>
  <si>
    <t>HP PB 440-G9-UMA i7-1255U-8GB-512GB-W11P</t>
  </si>
  <si>
    <t>8C415PA</t>
  </si>
  <si>
    <t>HP PB 440-G10-i7-1355U-16GB-512GB-WIN11P</t>
  </si>
  <si>
    <t>ElliteBook</t>
  </si>
  <si>
    <t>6P0H5PA</t>
  </si>
  <si>
    <t>HP EliteBook 630-G9-i5-1235U-8GB-512GB-13.3Inch-W11P</t>
  </si>
  <si>
    <t>HP PRELUDE 15.6 BACKPACK</t>
  </si>
  <si>
    <r>
      <t xml:space="preserve">STOCK JKT :
</t>
    </r>
    <r>
      <rPr>
        <sz val="11"/>
        <rFont val="Calibri"/>
        <family val="2"/>
      </rPr>
      <t>- Pallazo (0)</t>
    </r>
    <r>
      <rPr>
        <b/>
        <sz val="11"/>
        <rFont val="Calibri"/>
        <family val="2"/>
      </rPr>
      <t xml:space="preserve">
*TOTAL STOCK = (0)</t>
    </r>
    <r>
      <rPr>
        <b/>
        <sz val="11"/>
        <color rgb="FFFF0000"/>
        <rFont val="Calibri"/>
        <family val="2"/>
      </rPr>
      <t/>
    </r>
  </si>
  <si>
    <t>6P0H7PA</t>
  </si>
  <si>
    <t>HP EliteBook 630-G9-i7-1255U-8GB-1TB-13.3Inch-W11P</t>
  </si>
  <si>
    <r>
      <t>STOCK JKT :</t>
    </r>
    <r>
      <rPr>
        <sz val="11"/>
        <rFont val="Calibri"/>
        <family val="2"/>
      </rPr>
      <t xml:space="preserve">
- Pallazo (0)</t>
    </r>
    <r>
      <rPr>
        <b/>
        <sz val="11"/>
        <rFont val="Calibri"/>
        <family val="2"/>
      </rPr>
      <t xml:space="preserve">
*TOTAL STOCK = (0)</t>
    </r>
    <r>
      <rPr>
        <b/>
        <sz val="11"/>
        <color rgb="FFFF0000"/>
        <rFont val="Calibri"/>
        <family val="2"/>
      </rPr>
      <t/>
    </r>
  </si>
  <si>
    <t>446J7PA</t>
  </si>
  <si>
    <t>HP EliteBook 830-G8-i7-1165G7-8GB-512GB-Intel Iris Xᵉ Graphics-13.3Inch-W10P</t>
  </si>
  <si>
    <t>HP BUSINESS BACKPACK 17.3”</t>
  </si>
  <si>
    <r>
      <t xml:space="preserve"> STOCK JKT :
</t>
    </r>
    <r>
      <rPr>
        <sz val="11"/>
        <rFont val="Calibri"/>
        <family val="2"/>
      </rPr>
      <t>- PALLAZO (42) : DUS BAGUS</t>
    </r>
    <r>
      <rPr>
        <b/>
        <sz val="11"/>
        <rFont val="Calibri"/>
        <family val="2"/>
      </rPr>
      <t xml:space="preserve">
*TOTAL JKT (42)
</t>
    </r>
    <r>
      <rPr>
        <b/>
        <sz val="11"/>
        <color rgb="FFFF0000"/>
        <rFont val="Calibri"/>
        <family val="2"/>
      </rPr>
      <t>MAPPING :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>- BTL (10)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*TOTAL Mapping = (10)</t>
    </r>
  </si>
  <si>
    <t>446J9PA</t>
  </si>
  <si>
    <t>HP EliteBook 840-G8-i7-1165G7-8GB-512GB-Intel® Iris® Xᵉ Graphics-14Inch-W10P</t>
  </si>
  <si>
    <t>6P0H9PA</t>
  </si>
  <si>
    <t xml:space="preserve"> HP EliteBook x360-G9-i7-1255U-16GB-1TB-14Inch-W11P</t>
  </si>
  <si>
    <t>1E7D6AA</t>
  </si>
  <si>
    <t>HP Prelude 15.6 Backpack"</t>
  </si>
  <si>
    <r>
      <rPr>
        <b/>
        <sz val="11"/>
        <rFont val="Calibri"/>
        <family val="2"/>
      </rPr>
      <t>STOCK JKT :</t>
    </r>
    <r>
      <rPr>
        <sz val="11"/>
        <rFont val="Calibri"/>
        <family val="2"/>
      </rPr>
      <t xml:space="preserve">
- Pallazo (0)
</t>
    </r>
    <r>
      <rPr>
        <b/>
        <sz val="11"/>
        <rFont val="Calibri"/>
        <family val="2"/>
      </rPr>
      <t>*TOTAL STOCK = (0)</t>
    </r>
  </si>
  <si>
    <t>9J086PT</t>
  </si>
  <si>
    <t>HP Elitebook 630 G10 i7-1355U-16GB-1TB SSD-13.3 Inch-W11P-1Y</t>
  </si>
  <si>
    <t>PL1E7D6AA</t>
  </si>
  <si>
    <t>HP BACKPACK 15,6"</t>
  </si>
  <si>
    <r>
      <t xml:space="preserve">
STOCK JKT :
</t>
    </r>
    <r>
      <rPr>
        <sz val="11"/>
        <rFont val="Calibri"/>
        <family val="2"/>
      </rPr>
      <t>- Pallazo (16)</t>
    </r>
    <r>
      <rPr>
        <b/>
        <sz val="11"/>
        <rFont val="Calibri"/>
        <family val="2"/>
      </rPr>
      <t xml:space="preserve">
*TOTAL STOCK = (16)
</t>
    </r>
    <r>
      <rPr>
        <b/>
        <sz val="11"/>
        <color rgb="FFFF0000"/>
        <rFont val="Calibri"/>
        <family val="2"/>
      </rPr>
      <t/>
    </r>
  </si>
  <si>
    <t xml:space="preserve">TOTAL </t>
  </si>
  <si>
    <t>PA9J086PV2</t>
  </si>
  <si>
    <t xml:space="preserve"> </t>
  </si>
  <si>
    <t>Optiplex 3050 Micro Form Factor BTX 4GB
Intel Core i3-6100T (DC/3MB/4T/3.2GHz/35W); supports Windows 7/8.1/10/Linux  4GB (1x4GB) 2400MHz DDR4  500GB 2.5inch Serial ATA (7,200 RPM) Hard Drive, Dell Optiplex  65W AC Adapter  Intel(R) CPU label for Core (TM) i3 Windows 10 Pro (64bit) English + Mouse USB + Keyboard USB + 6 bulan garansi</t>
  </si>
  <si>
    <t>Optiplex 3050 Micro Form Factor BTX 8GB
Intel Core i3-6100T, Ram 8GB (4GBX2), HDD 500GB,  Windows 10 Pro (64bit) English + Mouse USB + Keyboard USB + 6 bulan garansi</t>
  </si>
  <si>
    <t>VOSTRO DESKTOP DT 3471-I5-9400-8GB-1TB-UBT
Intel Core i5-9400 ( 2.90 GHz; up to 4.10 GHz; 9M Cache), 8GB, 8Gx1, DDR4, 2400MHz UDIMM
1TB 7200 RPM 3,5" HDD, Intel UHD 630 Graphics, Qualcomm DW1707 2.4 GHz WiFi 802.11b/g/n + Bluetooth 4.0, Dell Monitor E2020H, Ubuntu,  Mouse USB + Keyboard USB GARANSI CONCORDIA 1 TAHUN</t>
  </si>
  <si>
    <t>No</t>
  </si>
  <si>
    <t>Spek</t>
  </si>
  <si>
    <t>Optiplex 3070 Small Form Factor  Intel Core i3-9100  4GB 1x4GB 2666MHz DDR4 Memory  3.5inch 1TB 7200rpm SATA HDD  Windows 10 Home</t>
  </si>
  <si>
    <t xml:space="preserve">Dell OptiPlex 3070 Minitower MLK   Intel Core i5-9500  4GB 1X4GB DDR4 2666MHz UDIMM Non-ECG  3.5" 1 TB 7200rpm SATA Hard Disk Drive  Ubuntu Linux  18.04  </t>
  </si>
  <si>
    <t>Laporan Stock Barang DELL PT. Global Solusindo Kompudata
Periode Tgl. 08 September 2026</t>
  </si>
  <si>
    <t>Laporan Stock Barang PT. Projectindo Teknowindata 
Periode Tgl. 08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</si>
</sst>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name val="Calibri"/>
      <family val="2"/>
    </font>
    <font>
      <b/>
      <u/>
      <sz val="11"/>
      <color rgb="FFFF0000"/>
      <name val="Calibri"/>
      <family val="2"/>
    </font>
    <font>
      <sz val="7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2" fillId="0" borderId="0"/>
  </cellStyleXfs>
  <cellXfs count="279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2" borderId="0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0" fillId="4" borderId="6" xfId="0" applyFill="1" applyBorder="1"/>
    <xf numFmtId="0" fontId="0" fillId="4" borderId="9" xfId="0" applyFill="1" applyBorder="1"/>
    <xf numFmtId="0" fontId="2" fillId="4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4" borderId="9" xfId="0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2" fillId="4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9" xfId="0" applyFill="1" applyBorder="1"/>
    <xf numFmtId="0" fontId="2" fillId="2" borderId="7" xfId="0" applyFont="1" applyFill="1" applyBorder="1" applyAlignment="1">
      <alignment horizontal="left" wrapText="1"/>
    </xf>
    <xf numFmtId="0" fontId="0" fillId="2" borderId="0" xfId="0" applyFill="1" applyBorder="1" applyAlignment="1">
      <alignment vertical="center"/>
    </xf>
    <xf numFmtId="0" fontId="0" fillId="2" borderId="0" xfId="0" applyFill="1" applyBorder="1"/>
    <xf numFmtId="0" fontId="0" fillId="2" borderId="0" xfId="0" applyFill="1"/>
    <xf numFmtId="0" fontId="2" fillId="2" borderId="11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6" xfId="0" applyFill="1" applyBorder="1" applyAlignment="1">
      <alignment wrapText="1"/>
    </xf>
    <xf numFmtId="0" fontId="0" fillId="0" borderId="0" xfId="0" applyFill="1" applyBorder="1" applyAlignment="1">
      <alignment vertical="center"/>
    </xf>
    <xf numFmtId="0" fontId="4" fillId="0" borderId="6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>
      <alignment vertical="center" wrapText="1"/>
    </xf>
    <xf numFmtId="0" fontId="0" fillId="2" borderId="12" xfId="0" applyFill="1" applyBorder="1"/>
    <xf numFmtId="0" fontId="0" fillId="2" borderId="0" xfId="0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2" borderId="12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 wrapText="1"/>
    </xf>
    <xf numFmtId="0" fontId="0" fillId="2" borderId="6" xfId="0" applyFill="1" applyBorder="1" applyAlignment="1">
      <alignment vertical="center"/>
    </xf>
    <xf numFmtId="0" fontId="0" fillId="2" borderId="10" xfId="0" applyFill="1" applyBorder="1" applyAlignment="1">
      <alignment wrapText="1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wrapText="1"/>
    </xf>
    <xf numFmtId="0" fontId="2" fillId="5" borderId="13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0" xfId="0" applyFill="1" applyBorder="1" applyAlignment="1">
      <alignment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Border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6" xfId="0" applyFont="1" applyBorder="1"/>
    <xf numFmtId="0" fontId="2" fillId="3" borderId="1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8" fillId="7" borderId="14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vertical="center" wrapText="1"/>
    </xf>
    <xf numFmtId="0" fontId="9" fillId="8" borderId="18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 wrapText="1"/>
    </xf>
    <xf numFmtId="0" fontId="9" fillId="8" borderId="19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 wrapText="1"/>
    </xf>
    <xf numFmtId="0" fontId="9" fillId="9" borderId="18" xfId="0" applyFont="1" applyFill="1" applyBorder="1" applyAlignment="1">
      <alignment horizontal="center" wrapText="1"/>
    </xf>
    <xf numFmtId="0" fontId="9" fillId="10" borderId="18" xfId="0" applyFont="1" applyFill="1" applyBorder="1" applyAlignment="1">
      <alignment horizontal="center" wrapText="1"/>
    </xf>
    <xf numFmtId="0" fontId="9" fillId="9" borderId="18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/>
    </xf>
    <xf numFmtId="0" fontId="9" fillId="8" borderId="21" xfId="0" applyFont="1" applyFill="1" applyBorder="1" applyAlignment="1">
      <alignment horizontal="left"/>
    </xf>
    <xf numFmtId="0" fontId="9" fillId="8" borderId="0" xfId="0" applyFont="1" applyFill="1" applyBorder="1" applyAlignment="1">
      <alignment horizontal="center"/>
    </xf>
    <xf numFmtId="0" fontId="9" fillId="8" borderId="22" xfId="0" applyFont="1" applyFill="1" applyBorder="1" applyAlignment="1">
      <alignment horizontal="center"/>
    </xf>
    <xf numFmtId="0" fontId="9" fillId="4" borderId="23" xfId="0" applyFont="1" applyFill="1" applyBorder="1" applyAlignment="1">
      <alignment horizontal="center" wrapText="1"/>
    </xf>
    <xf numFmtId="0" fontId="9" fillId="9" borderId="23" xfId="0" applyFont="1" applyFill="1" applyBorder="1" applyAlignment="1">
      <alignment horizontal="center" wrapText="1"/>
    </xf>
    <xf numFmtId="0" fontId="9" fillId="10" borderId="23" xfId="0" applyFont="1" applyFill="1" applyBorder="1" applyAlignment="1">
      <alignment horizontal="center" wrapText="1"/>
    </xf>
    <xf numFmtId="0" fontId="9" fillId="9" borderId="23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11" borderId="23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vertical="center"/>
    </xf>
    <xf numFmtId="0" fontId="10" fillId="7" borderId="24" xfId="0" applyFont="1" applyFill="1" applyBorder="1" applyAlignment="1">
      <alignment horizontal="left" vertical="center"/>
    </xf>
    <xf numFmtId="0" fontId="10" fillId="7" borderId="24" xfId="0" quotePrefix="1" applyFont="1" applyFill="1" applyBorder="1" applyAlignment="1">
      <alignment horizontal="left" vertical="center"/>
    </xf>
    <xf numFmtId="0" fontId="11" fillId="7" borderId="24" xfId="0" applyFont="1" applyFill="1" applyBorder="1" applyAlignment="1">
      <alignment horizontal="right" vertical="center" wrapText="1"/>
    </xf>
    <xf numFmtId="0" fontId="11" fillId="7" borderId="24" xfId="0" applyFont="1" applyFill="1" applyBorder="1" applyAlignment="1">
      <alignment vertical="center"/>
    </xf>
    <xf numFmtId="0" fontId="10" fillId="7" borderId="24" xfId="0" applyFont="1" applyFill="1" applyBorder="1" applyAlignment="1">
      <alignment horizontal="right" vertical="center" wrapText="1"/>
    </xf>
    <xf numFmtId="0" fontId="11" fillId="4" borderId="24" xfId="0" applyFont="1" applyFill="1" applyBorder="1" applyAlignment="1">
      <alignment vertical="center"/>
    </xf>
    <xf numFmtId="0" fontId="10" fillId="7" borderId="24" xfId="0" applyFont="1" applyFill="1" applyBorder="1" applyAlignment="1">
      <alignment vertical="center" wrapText="1"/>
    </xf>
    <xf numFmtId="0" fontId="6" fillId="0" borderId="25" xfId="0" quotePrefix="1" applyFont="1" applyFill="1" applyBorder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7" fillId="7" borderId="21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vertical="center" wrapText="1"/>
    </xf>
    <xf numFmtId="0" fontId="6" fillId="0" borderId="26" xfId="0" quotePrefix="1" applyFont="1" applyFill="1" applyBorder="1" applyAlignment="1">
      <alignment horizontal="left" vertical="center"/>
    </xf>
    <xf numFmtId="0" fontId="12" fillId="7" borderId="24" xfId="1" applyFont="1" applyFill="1" applyBorder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0" fillId="7" borderId="24" xfId="0" applyFill="1" applyBorder="1" applyAlignment="1">
      <alignment vertical="center"/>
    </xf>
    <xf numFmtId="0" fontId="14" fillId="7" borderId="24" xfId="0" applyFont="1" applyFill="1" applyBorder="1" applyAlignment="1">
      <alignment vertical="center"/>
    </xf>
    <xf numFmtId="0" fontId="7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vertical="center"/>
    </xf>
    <xf numFmtId="0" fontId="11" fillId="7" borderId="24" xfId="0" applyFont="1" applyFill="1" applyBorder="1" applyAlignment="1">
      <alignment horizontal="right" vertical="center"/>
    </xf>
    <xf numFmtId="0" fontId="10" fillId="7" borderId="24" xfId="0" applyFont="1" applyFill="1" applyBorder="1" applyAlignment="1">
      <alignment horizontal="right" vertical="center"/>
    </xf>
    <xf numFmtId="0" fontId="6" fillId="0" borderId="27" xfId="0" quotePrefix="1" applyFont="1" applyFill="1" applyBorder="1" applyAlignment="1">
      <alignment horizontal="left" vertical="center" wrapText="1"/>
    </xf>
    <xf numFmtId="3" fontId="0" fillId="0" borderId="0" xfId="0" applyNumberFormat="1" applyFill="1" applyAlignment="1">
      <alignment vertical="center"/>
    </xf>
    <xf numFmtId="0" fontId="6" fillId="7" borderId="18" xfId="0" applyFont="1" applyFill="1" applyBorder="1" applyAlignment="1">
      <alignment horizontal="center" vertical="center"/>
    </xf>
    <xf numFmtId="0" fontId="6" fillId="0" borderId="28" xfId="0" quotePrefix="1" applyFont="1" applyFill="1" applyBorder="1" applyAlignment="1">
      <alignment horizontal="left" vertical="center" wrapText="1"/>
    </xf>
    <xf numFmtId="0" fontId="6" fillId="7" borderId="21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left" vertical="center"/>
    </xf>
    <xf numFmtId="0" fontId="6" fillId="0" borderId="29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28" xfId="0" applyFont="1" applyFill="1" applyBorder="1" applyAlignment="1">
      <alignment horizontal="left" vertical="center" wrapText="1"/>
    </xf>
    <xf numFmtId="0" fontId="6" fillId="7" borderId="23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vertical="center"/>
    </xf>
    <xf numFmtId="0" fontId="10" fillId="7" borderId="18" xfId="0" applyFont="1" applyFill="1" applyBorder="1" applyAlignment="1">
      <alignment horizontal="left" vertical="center"/>
    </xf>
    <xf numFmtId="0" fontId="17" fillId="7" borderId="24" xfId="0" applyFont="1" applyFill="1" applyBorder="1" applyAlignment="1">
      <alignment vertical="center" wrapText="1"/>
    </xf>
    <xf numFmtId="0" fontId="7" fillId="0" borderId="26" xfId="0" quotePrefix="1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/>
    </xf>
    <xf numFmtId="0" fontId="6" fillId="7" borderId="25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 wrapText="1"/>
    </xf>
    <xf numFmtId="0" fontId="6" fillId="7" borderId="21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horizontal="left" vertical="center" wrapText="1"/>
    </xf>
    <xf numFmtId="0" fontId="7" fillId="0" borderId="30" xfId="0" quotePrefix="1" applyFont="1" applyFill="1" applyBorder="1" applyAlignment="1">
      <alignment horizontal="left" vertical="center" wrapText="1"/>
    </xf>
    <xf numFmtId="3" fontId="6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7" borderId="23" xfId="0" applyFont="1" applyFill="1" applyBorder="1" applyAlignment="1">
      <alignment horizontal="left" vertical="center"/>
    </xf>
    <xf numFmtId="0" fontId="11" fillId="7" borderId="23" xfId="0" applyFont="1" applyFill="1" applyBorder="1" applyAlignment="1">
      <alignment horizontal="left" vertical="center" wrapText="1"/>
    </xf>
    <xf numFmtId="0" fontId="6" fillId="0" borderId="25" xfId="0" quotePrefix="1" applyFont="1" applyFill="1" applyBorder="1" applyAlignment="1">
      <alignment horizontal="left" vertical="center" wrapText="1"/>
    </xf>
    <xf numFmtId="0" fontId="6" fillId="7" borderId="31" xfId="0" applyFont="1" applyFill="1" applyBorder="1" applyAlignment="1">
      <alignment vertical="center"/>
    </xf>
    <xf numFmtId="0" fontId="6" fillId="7" borderId="23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left" vertical="center" wrapText="1"/>
    </xf>
    <xf numFmtId="0" fontId="6" fillId="7" borderId="25" xfId="0" applyFont="1" applyFill="1" applyBorder="1" applyAlignment="1">
      <alignment vertical="center"/>
    </xf>
    <xf numFmtId="0" fontId="11" fillId="7" borderId="18" xfId="0" applyFont="1" applyFill="1" applyBorder="1" applyAlignment="1">
      <alignment horizontal="right" vertical="center"/>
    </xf>
    <xf numFmtId="0" fontId="11" fillId="7" borderId="18" xfId="0" applyFont="1" applyFill="1" applyBorder="1" applyAlignment="1">
      <alignment horizontal="right" vertical="center" wrapText="1"/>
    </xf>
    <xf numFmtId="0" fontId="11" fillId="7" borderId="18" xfId="0" applyFont="1" applyFill="1" applyBorder="1" applyAlignment="1">
      <alignment vertical="center"/>
    </xf>
    <xf numFmtId="0" fontId="5" fillId="0" borderId="31" xfId="0" applyFont="1" applyFill="1" applyBorder="1" applyAlignment="1">
      <alignment horizontal="left" vertical="center" wrapText="1"/>
    </xf>
    <xf numFmtId="0" fontId="6" fillId="7" borderId="31" xfId="0" applyFont="1" applyFill="1" applyBorder="1" applyAlignment="1">
      <alignment horizontal="left" vertical="center"/>
    </xf>
    <xf numFmtId="0" fontId="6" fillId="7" borderId="17" xfId="0" applyFont="1" applyFill="1" applyBorder="1" applyAlignment="1">
      <alignment horizontal="left" vertical="center"/>
    </xf>
    <xf numFmtId="0" fontId="6" fillId="7" borderId="32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right" vertical="center"/>
    </xf>
    <xf numFmtId="0" fontId="11" fillId="7" borderId="6" xfId="0" applyFont="1" applyFill="1" applyBorder="1" applyAlignment="1">
      <alignment horizontal="right" vertical="center" wrapText="1"/>
    </xf>
    <xf numFmtId="0" fontId="11" fillId="7" borderId="6" xfId="0" applyFont="1" applyFill="1" applyBorder="1" applyAlignment="1">
      <alignment vertical="center"/>
    </xf>
    <xf numFmtId="0" fontId="10" fillId="7" borderId="25" xfId="0" applyFont="1" applyFill="1" applyBorder="1" applyAlignment="1">
      <alignment horizontal="right" vertical="center"/>
    </xf>
    <xf numFmtId="0" fontId="11" fillId="7" borderId="25" xfId="0" applyFont="1" applyFill="1" applyBorder="1" applyAlignment="1">
      <alignment vertical="center"/>
    </xf>
    <xf numFmtId="0" fontId="11" fillId="7" borderId="23" xfId="0" applyFont="1" applyFill="1" applyBorder="1" applyAlignment="1">
      <alignment vertical="center"/>
    </xf>
    <xf numFmtId="0" fontId="11" fillId="4" borderId="23" xfId="0" applyFont="1" applyFill="1" applyBorder="1" applyAlignment="1">
      <alignment vertical="center"/>
    </xf>
    <xf numFmtId="0" fontId="11" fillId="7" borderId="33" xfId="0" applyFont="1" applyFill="1" applyBorder="1" applyAlignment="1">
      <alignment horizontal="right" vertical="center"/>
    </xf>
    <xf numFmtId="0" fontId="11" fillId="7" borderId="34" xfId="0" applyFont="1" applyFill="1" applyBorder="1" applyAlignment="1">
      <alignment horizontal="right" vertical="center"/>
    </xf>
    <xf numFmtId="0" fontId="11" fillId="7" borderId="34" xfId="0" applyFont="1" applyFill="1" applyBorder="1" applyAlignment="1">
      <alignment horizontal="right" vertical="center" wrapText="1"/>
    </xf>
    <xf numFmtId="0" fontId="11" fillId="7" borderId="35" xfId="0" applyFont="1" applyFill="1" applyBorder="1" applyAlignment="1">
      <alignment vertical="center"/>
    </xf>
    <xf numFmtId="0" fontId="11" fillId="7" borderId="36" xfId="0" applyFont="1" applyFill="1" applyBorder="1" applyAlignment="1">
      <alignment vertical="center"/>
    </xf>
    <xf numFmtId="0" fontId="10" fillId="7" borderId="35" xfId="0" applyFont="1" applyFill="1" applyBorder="1" applyAlignment="1">
      <alignment horizontal="right" vertical="center"/>
    </xf>
    <xf numFmtId="0" fontId="7" fillId="0" borderId="24" xfId="0" quotePrefix="1" applyFont="1" applyFill="1" applyBorder="1" applyAlignment="1">
      <alignment horizontal="left" vertical="center"/>
    </xf>
    <xf numFmtId="0" fontId="6" fillId="7" borderId="23" xfId="0" applyFont="1" applyFill="1" applyBorder="1" applyAlignment="1">
      <alignment vertical="center"/>
    </xf>
    <xf numFmtId="0" fontId="10" fillId="7" borderId="23" xfId="0" applyFont="1" applyFill="1" applyBorder="1" applyAlignment="1">
      <alignment horizontal="left" vertical="center"/>
    </xf>
    <xf numFmtId="0" fontId="11" fillId="7" borderId="16" xfId="0" applyFont="1" applyFill="1" applyBorder="1" applyAlignment="1">
      <alignment horizontal="right" vertical="center" wrapText="1"/>
    </xf>
    <xf numFmtId="0" fontId="11" fillId="7" borderId="17" xfId="0" applyFont="1" applyFill="1" applyBorder="1" applyAlignment="1">
      <alignment vertical="center" wrapText="1"/>
    </xf>
    <xf numFmtId="0" fontId="7" fillId="0" borderId="23" xfId="0" quotePrefix="1" applyFont="1" applyFill="1" applyBorder="1" applyAlignment="1">
      <alignment horizontal="left" vertical="center"/>
    </xf>
    <xf numFmtId="0" fontId="6" fillId="7" borderId="37" xfId="0" applyFont="1" applyFill="1" applyBorder="1" applyAlignment="1">
      <alignment vertical="center"/>
    </xf>
    <xf numFmtId="0" fontId="6" fillId="7" borderId="19" xfId="0" applyFont="1" applyFill="1" applyBorder="1" applyAlignment="1">
      <alignment horizontal="left" vertical="center"/>
    </xf>
    <xf numFmtId="0" fontId="6" fillId="7" borderId="20" xfId="0" applyFont="1" applyFill="1" applyBorder="1" applyAlignment="1">
      <alignment horizontal="left" vertical="center"/>
    </xf>
    <xf numFmtId="0" fontId="11" fillId="7" borderId="38" xfId="0" applyFont="1" applyFill="1" applyBorder="1" applyAlignment="1">
      <alignment horizontal="right" vertical="center"/>
    </xf>
    <xf numFmtId="0" fontId="11" fillId="7" borderId="16" xfId="0" applyFont="1" applyFill="1" applyBorder="1" applyAlignment="1">
      <alignment horizontal="right" vertical="center"/>
    </xf>
    <xf numFmtId="0" fontId="11" fillId="7" borderId="39" xfId="0" applyFont="1" applyFill="1" applyBorder="1" applyAlignment="1">
      <alignment vertical="center"/>
    </xf>
    <xf numFmtId="0" fontId="11" fillId="7" borderId="14" xfId="0" applyFont="1" applyFill="1" applyBorder="1" applyAlignment="1">
      <alignment vertical="center"/>
    </xf>
    <xf numFmtId="0" fontId="10" fillId="7" borderId="39" xfId="0" applyFont="1" applyFill="1" applyBorder="1" applyAlignment="1">
      <alignment horizontal="right" vertical="center"/>
    </xf>
    <xf numFmtId="0" fontId="6" fillId="7" borderId="15" xfId="0" applyFont="1" applyFill="1" applyBorder="1" applyAlignment="1">
      <alignment vertical="center"/>
    </xf>
    <xf numFmtId="0" fontId="7" fillId="0" borderId="18" xfId="0" applyFont="1" applyFill="1" applyBorder="1" applyAlignment="1">
      <alignment horizontal="left" vertical="center" wrapText="1"/>
    </xf>
    <xf numFmtId="0" fontId="17" fillId="7" borderId="17" xfId="0" applyFont="1" applyFill="1" applyBorder="1" applyAlignment="1">
      <alignment vertical="center" wrapText="1"/>
    </xf>
    <xf numFmtId="0" fontId="7" fillId="0" borderId="23" xfId="0" applyFont="1" applyFill="1" applyBorder="1" applyAlignment="1">
      <alignment horizontal="left" vertical="center" wrapText="1"/>
    </xf>
    <xf numFmtId="0" fontId="6" fillId="7" borderId="24" xfId="0" applyFont="1" applyFill="1" applyBorder="1" applyAlignment="1">
      <alignment horizontal="left" vertical="center" wrapText="1"/>
    </xf>
    <xf numFmtId="0" fontId="10" fillId="7" borderId="37" xfId="0" applyFont="1" applyFill="1" applyBorder="1" applyAlignment="1">
      <alignment horizontal="left" vertical="center"/>
    </xf>
    <xf numFmtId="0" fontId="0" fillId="7" borderId="39" xfId="0" applyFont="1" applyFill="1" applyBorder="1" applyAlignment="1">
      <alignment vertical="center"/>
    </xf>
    <xf numFmtId="0" fontId="11" fillId="7" borderId="15" xfId="0" applyFont="1" applyFill="1" applyBorder="1" applyAlignment="1">
      <alignment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7" fillId="7" borderId="18" xfId="0" applyFont="1" applyFill="1" applyBorder="1" applyAlignment="1">
      <alignment horizontal="left" vertical="center"/>
    </xf>
    <xf numFmtId="0" fontId="6" fillId="7" borderId="21" xfId="0" applyFont="1" applyFill="1" applyBorder="1" applyAlignment="1">
      <alignment vertical="center"/>
    </xf>
    <xf numFmtId="0" fontId="6" fillId="7" borderId="21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6" fillId="7" borderId="22" xfId="0" applyFont="1" applyFill="1" applyBorder="1" applyAlignment="1">
      <alignment horizontal="left" vertical="center"/>
    </xf>
    <xf numFmtId="0" fontId="11" fillId="7" borderId="40" xfId="0" applyFont="1" applyFill="1" applyBorder="1" applyAlignment="1">
      <alignment horizontal="right" vertical="center"/>
    </xf>
    <xf numFmtId="0" fontId="11" fillId="7" borderId="3" xfId="0" applyFont="1" applyFill="1" applyBorder="1" applyAlignment="1">
      <alignment horizontal="right" vertical="center"/>
    </xf>
    <xf numFmtId="0" fontId="11" fillId="7" borderId="10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0" fontId="10" fillId="7" borderId="10" xfId="0" applyFont="1" applyFill="1" applyBorder="1" applyAlignment="1">
      <alignment horizontal="right" vertical="center"/>
    </xf>
    <xf numFmtId="0" fontId="11" fillId="7" borderId="21" xfId="0" applyFont="1" applyFill="1" applyBorder="1" applyAlignment="1">
      <alignment vertical="center"/>
    </xf>
    <xf numFmtId="0" fontId="11" fillId="7" borderId="0" xfId="0" applyFont="1" applyFill="1" applyBorder="1" applyAlignment="1">
      <alignment vertical="center" wrapText="1"/>
    </xf>
    <xf numFmtId="0" fontId="7" fillId="0" borderId="21" xfId="0" quotePrefix="1" applyFont="1" applyFill="1" applyBorder="1" applyAlignment="1">
      <alignment horizontal="left" vertical="center"/>
    </xf>
    <xf numFmtId="0" fontId="7" fillId="7" borderId="21" xfId="0" applyFont="1" applyFill="1" applyBorder="1" applyAlignment="1">
      <alignment horizontal="left" vertical="center"/>
    </xf>
    <xf numFmtId="0" fontId="6" fillId="7" borderId="37" xfId="0" applyFont="1" applyFill="1" applyBorder="1" applyAlignment="1">
      <alignment horizontal="left" vertical="center"/>
    </xf>
    <xf numFmtId="0" fontId="10" fillId="7" borderId="21" xfId="0" applyFont="1" applyFill="1" applyBorder="1" applyAlignment="1">
      <alignment horizontal="left" vertical="center"/>
    </xf>
    <xf numFmtId="0" fontId="7" fillId="0" borderId="18" xfId="0" quotePrefix="1" applyFont="1" applyFill="1" applyBorder="1" applyAlignment="1">
      <alignment horizontal="left" vertical="center"/>
    </xf>
    <xf numFmtId="0" fontId="7" fillId="7" borderId="23" xfId="0" applyFont="1" applyFill="1" applyBorder="1" applyAlignment="1">
      <alignment horizontal="left" vertical="center"/>
    </xf>
    <xf numFmtId="0" fontId="5" fillId="0" borderId="24" xfId="0" quotePrefix="1" applyFont="1" applyFill="1" applyBorder="1" applyAlignment="1">
      <alignment horizontal="left" vertical="center"/>
    </xf>
    <xf numFmtId="0" fontId="7" fillId="7" borderId="18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vertical="center" wrapText="1"/>
    </xf>
    <xf numFmtId="0" fontId="7" fillId="7" borderId="21" xfId="0" applyFont="1" applyFill="1" applyBorder="1" applyAlignment="1">
      <alignment horizontal="center" vertical="center"/>
    </xf>
    <xf numFmtId="0" fontId="10" fillId="7" borderId="38" xfId="0" applyFont="1" applyFill="1" applyBorder="1" applyAlignment="1">
      <alignment horizontal="right" vertical="center"/>
    </xf>
    <xf numFmtId="0" fontId="10" fillId="7" borderId="16" xfId="0" applyFont="1" applyFill="1" applyBorder="1" applyAlignment="1">
      <alignment horizontal="right" vertical="center"/>
    </xf>
    <xf numFmtId="0" fontId="10" fillId="7" borderId="16" xfId="0" applyFont="1" applyFill="1" applyBorder="1" applyAlignment="1">
      <alignment horizontal="right" vertical="center" wrapText="1"/>
    </xf>
    <xf numFmtId="0" fontId="10" fillId="7" borderId="39" xfId="0" applyFont="1" applyFill="1" applyBorder="1" applyAlignment="1">
      <alignment vertical="center"/>
    </xf>
    <xf numFmtId="0" fontId="10" fillId="7" borderId="14" xfId="0" applyFont="1" applyFill="1" applyBorder="1" applyAlignment="1">
      <alignment vertical="center"/>
    </xf>
    <xf numFmtId="0" fontId="10" fillId="7" borderId="15" xfId="0" applyFont="1" applyFill="1" applyBorder="1" applyAlignment="1">
      <alignment vertical="center" wrapText="1"/>
    </xf>
    <xf numFmtId="0" fontId="5" fillId="0" borderId="24" xfId="0" quotePrefix="1" applyFont="1" applyFill="1" applyBorder="1" applyAlignment="1">
      <alignment horizontal="left" vertical="center" wrapText="1"/>
    </xf>
    <xf numFmtId="3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7" fillId="0" borderId="24" xfId="0" quotePrefix="1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vertical="center"/>
    </xf>
    <xf numFmtId="0" fontId="10" fillId="7" borderId="20" xfId="0" applyFont="1" applyFill="1" applyBorder="1" applyAlignment="1">
      <alignment horizontal="left" vertical="center"/>
    </xf>
    <xf numFmtId="0" fontId="11" fillId="7" borderId="41" xfId="0" applyFont="1" applyFill="1" applyBorder="1" applyAlignment="1">
      <alignment horizontal="right" vertical="center"/>
    </xf>
    <xf numFmtId="0" fontId="11" fillId="7" borderId="42" xfId="0" applyFont="1" applyFill="1" applyBorder="1" applyAlignment="1">
      <alignment horizontal="right" vertical="center"/>
    </xf>
    <xf numFmtId="0" fontId="11" fillId="7" borderId="42" xfId="0" applyFont="1" applyFill="1" applyBorder="1" applyAlignment="1">
      <alignment horizontal="right" vertical="center" wrapText="1"/>
    </xf>
    <xf numFmtId="0" fontId="11" fillId="7" borderId="43" xfId="0" applyFont="1" applyFill="1" applyBorder="1" applyAlignment="1">
      <alignment vertical="center"/>
    </xf>
    <xf numFmtId="0" fontId="11" fillId="7" borderId="44" xfId="0" applyFont="1" applyFill="1" applyBorder="1" applyAlignment="1">
      <alignment vertical="center"/>
    </xf>
    <xf numFmtId="0" fontId="10" fillId="7" borderId="43" xfId="0" applyFont="1" applyFill="1" applyBorder="1" applyAlignment="1">
      <alignment horizontal="right" vertical="center"/>
    </xf>
    <xf numFmtId="0" fontId="11" fillId="4" borderId="18" xfId="0" applyFont="1" applyFill="1" applyBorder="1" applyAlignment="1">
      <alignment vertical="center"/>
    </xf>
    <xf numFmtId="0" fontId="7" fillId="0" borderId="25" xfId="0" quotePrefix="1" applyFont="1" applyFill="1" applyBorder="1" applyAlignment="1">
      <alignment horizontal="left" vertical="center" wrapText="1"/>
    </xf>
    <xf numFmtId="0" fontId="7" fillId="0" borderId="45" xfId="0" quotePrefix="1" applyFont="1" applyFill="1" applyBorder="1" applyAlignment="1">
      <alignment horizontal="left" vertical="center" wrapText="1"/>
    </xf>
    <xf numFmtId="0" fontId="7" fillId="0" borderId="28" xfId="0" quotePrefix="1" applyFont="1" applyFill="1" applyBorder="1" applyAlignment="1">
      <alignment horizontal="left" vertical="center" wrapText="1"/>
    </xf>
    <xf numFmtId="0" fontId="11" fillId="8" borderId="37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0" fontId="11" fillId="11" borderId="24" xfId="0" applyFont="1" applyFill="1" applyBorder="1" applyAlignment="1">
      <alignment vertical="center"/>
    </xf>
    <xf numFmtId="0" fontId="6" fillId="0" borderId="31" xfId="0" applyFont="1" applyFill="1" applyBorder="1"/>
    <xf numFmtId="0" fontId="0" fillId="0" borderId="0" xfId="0" applyAlignment="1">
      <alignment horizontal="left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vertical="top" wrapText="1"/>
    </xf>
    <xf numFmtId="0" fontId="19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wrapText="1"/>
    </xf>
  </cellXfs>
  <cellStyles count="2">
    <cellStyle name="Normal" xfId="0" builtinId="0"/>
    <cellStyle name="Normal 17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67236</xdr:colOff>
      <xdr:row>0</xdr:row>
      <xdr:rowOff>59531</xdr:rowOff>
    </xdr:from>
    <xdr:to>
      <xdr:col>2</xdr:col>
      <xdr:colOff>594613</xdr:colOff>
      <xdr:row>2</xdr:row>
      <xdr:rowOff>115092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6036" y="59531"/>
          <a:ext cx="527377" cy="436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2440780</xdr:colOff>
      <xdr:row>0</xdr:row>
      <xdr:rowOff>0</xdr:rowOff>
    </xdr:from>
    <xdr:to>
      <xdr:col>2</xdr:col>
      <xdr:colOff>2976561</xdr:colOff>
      <xdr:row>1</xdr:row>
      <xdr:rowOff>345281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855" y="0"/>
          <a:ext cx="535781" cy="535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3"/>
  <sheetViews>
    <sheetView tabSelected="1" zoomScale="80" zoomScaleNormal="80" workbookViewId="0">
      <selection activeCell="A4" sqref="A4"/>
    </sheetView>
  </sheetViews>
  <sheetFormatPr defaultRowHeight="15" outlineLevelRow="2" outlineLevelCol="2" x14ac:dyDescent="0.25"/>
  <cols>
    <col min="1" max="1" width="13" bestFit="1" customWidth="1"/>
    <col min="2" max="2" width="14.42578125" customWidth="1" outlineLevel="1"/>
    <col min="3" max="3" width="84.5703125" style="86" customWidth="1"/>
    <col min="4" max="4" width="46.42578125" style="86" customWidth="1"/>
    <col min="5" max="5" width="9.42578125" hidden="1" customWidth="1" outlineLevel="2"/>
    <col min="6" max="6" width="36.42578125" hidden="1" customWidth="1" outlineLevel="2"/>
    <col min="7" max="7" width="15.42578125" hidden="1" customWidth="1" outlineLevel="1" collapsed="1"/>
    <col min="8" max="8" width="18.28515625" hidden="1" customWidth="1" outlineLevel="1"/>
    <col min="9" max="9" width="7" hidden="1" customWidth="1" outlineLevel="1"/>
    <col min="10" max="10" width="12.5703125" customWidth="1" collapsed="1"/>
    <col min="11" max="11" width="47.85546875" customWidth="1"/>
    <col min="12" max="12" width="10.42578125" style="87" hidden="1" customWidth="1" outlineLevel="1"/>
    <col min="13" max="13" width="35.140625" style="88" bestFit="1" customWidth="1" collapsed="1"/>
    <col min="14" max="14" width="16.140625" bestFit="1" customWidth="1"/>
  </cols>
  <sheetData>
    <row r="1" spans="1:17" ht="15" customHeight="1" x14ac:dyDescent="0.25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4"/>
      <c r="N1" s="5"/>
      <c r="O1" s="5"/>
      <c r="P1" s="5"/>
      <c r="Q1" s="5"/>
    </row>
    <row r="2" spans="1:17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3"/>
      <c r="M2" s="4"/>
      <c r="N2" s="5"/>
      <c r="O2" s="5"/>
      <c r="P2" s="5"/>
      <c r="Q2" s="5"/>
    </row>
    <row r="3" spans="1:17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9"/>
      <c r="L3" s="3"/>
      <c r="M3" s="4"/>
      <c r="N3" s="5"/>
      <c r="O3" s="5"/>
      <c r="P3" s="5"/>
      <c r="Q3" s="5"/>
    </row>
    <row r="4" spans="1:17" ht="18.75" x14ac:dyDescent="0.3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0" t="s">
        <v>10</v>
      </c>
      <c r="L4" s="12" t="s">
        <v>11</v>
      </c>
      <c r="M4" s="13" t="s">
        <v>12</v>
      </c>
      <c r="N4" s="11" t="s">
        <v>13</v>
      </c>
      <c r="O4" s="5"/>
      <c r="P4" s="5"/>
      <c r="Q4" s="5"/>
    </row>
    <row r="5" spans="1:17" ht="57.75" hidden="1" customHeight="1" outlineLevel="1" x14ac:dyDescent="0.25">
      <c r="A5" s="14" t="s">
        <v>14</v>
      </c>
      <c r="B5" s="15" t="s">
        <v>15</v>
      </c>
      <c r="C5" s="16" t="s">
        <v>16</v>
      </c>
      <c r="D5" s="17" t="s">
        <v>17</v>
      </c>
      <c r="E5" s="18"/>
      <c r="F5" s="19"/>
      <c r="G5" s="20">
        <v>200</v>
      </c>
      <c r="H5" s="20">
        <v>200</v>
      </c>
      <c r="I5" s="20"/>
      <c r="J5" s="12">
        <f>G5-H5</f>
        <v>0</v>
      </c>
      <c r="K5" s="16"/>
      <c r="L5" s="3" t="s">
        <v>18</v>
      </c>
      <c r="M5" s="21" t="s">
        <v>19</v>
      </c>
      <c r="N5" s="22"/>
      <c r="O5" s="5"/>
      <c r="P5" s="5"/>
      <c r="Q5" s="5"/>
    </row>
    <row r="6" spans="1:17" ht="102" customHeight="1" collapsed="1" x14ac:dyDescent="0.25">
      <c r="A6" s="23"/>
      <c r="B6" s="24" t="s">
        <v>20</v>
      </c>
      <c r="C6" s="25" t="s">
        <v>21</v>
      </c>
      <c r="D6" s="17" t="s">
        <v>17</v>
      </c>
      <c r="E6" s="18"/>
      <c r="F6" s="26" t="s">
        <v>22</v>
      </c>
      <c r="G6" s="20">
        <v>100</v>
      </c>
      <c r="H6" s="20">
        <v>100</v>
      </c>
      <c r="I6" s="20">
        <f>G6-H6</f>
        <v>0</v>
      </c>
      <c r="J6" s="27">
        <f>(G6+G7)-(H6+H7)</f>
        <v>1</v>
      </c>
      <c r="K6" s="28" t="s">
        <v>23</v>
      </c>
      <c r="L6" s="28" t="s">
        <v>24</v>
      </c>
      <c r="M6" s="29" t="s">
        <v>19</v>
      </c>
      <c r="N6" s="29"/>
      <c r="O6" s="5"/>
      <c r="P6" s="5"/>
      <c r="Q6" s="5"/>
    </row>
    <row r="7" spans="1:17" ht="22.5" customHeight="1" x14ac:dyDescent="0.25">
      <c r="A7" s="23"/>
      <c r="B7" s="30"/>
      <c r="C7" s="31"/>
      <c r="D7" s="17" t="s">
        <v>25</v>
      </c>
      <c r="E7" s="18">
        <f>SUM(E2:E6)</f>
        <v>0</v>
      </c>
      <c r="F7" s="26"/>
      <c r="G7" s="20">
        <v>200</v>
      </c>
      <c r="H7" s="20">
        <v>199</v>
      </c>
      <c r="I7" s="20">
        <f>G7-H7</f>
        <v>1</v>
      </c>
      <c r="J7" s="32"/>
      <c r="K7" s="33"/>
      <c r="L7" s="33"/>
      <c r="M7" s="34"/>
      <c r="N7" s="34"/>
      <c r="O7" s="5"/>
      <c r="P7" s="5"/>
      <c r="Q7" s="5"/>
    </row>
    <row r="8" spans="1:17" ht="207" customHeight="1" x14ac:dyDescent="0.25">
      <c r="A8" s="23"/>
      <c r="B8" s="35" t="s">
        <v>26</v>
      </c>
      <c r="C8" s="17" t="s">
        <v>27</v>
      </c>
      <c r="D8" s="17" t="s">
        <v>17</v>
      </c>
      <c r="E8" s="18"/>
      <c r="F8" s="19"/>
      <c r="G8" s="20">
        <v>104</v>
      </c>
      <c r="H8" s="20">
        <v>96</v>
      </c>
      <c r="I8" s="20"/>
      <c r="J8" s="12">
        <f>G8-H8</f>
        <v>8</v>
      </c>
      <c r="K8" s="36" t="s">
        <v>28</v>
      </c>
      <c r="L8" s="3" t="s">
        <v>29</v>
      </c>
      <c r="M8" s="37" t="s">
        <v>30</v>
      </c>
      <c r="N8" s="22"/>
      <c r="O8" s="5"/>
      <c r="P8" s="5"/>
      <c r="Q8" s="5"/>
    </row>
    <row r="9" spans="1:17" s="43" customFormat="1" ht="126" customHeight="1" x14ac:dyDescent="0.25">
      <c r="A9" s="23"/>
      <c r="B9" s="24" t="s">
        <v>31</v>
      </c>
      <c r="C9" s="25" t="s">
        <v>32</v>
      </c>
      <c r="D9" s="17" t="s">
        <v>17</v>
      </c>
      <c r="E9" s="38"/>
      <c r="F9" s="39"/>
      <c r="G9" s="20">
        <f>50+115</f>
        <v>165</v>
      </c>
      <c r="H9" s="20">
        <v>142</v>
      </c>
      <c r="I9" s="20">
        <f>G9-H9</f>
        <v>23</v>
      </c>
      <c r="J9" s="27">
        <f>(G9-H9)+(G10-H10)</f>
        <v>24</v>
      </c>
      <c r="K9" s="40" t="s">
        <v>33</v>
      </c>
      <c r="L9" s="41" t="s">
        <v>29</v>
      </c>
      <c r="M9" s="21" t="s">
        <v>34</v>
      </c>
      <c r="N9" s="22"/>
      <c r="O9" s="42"/>
      <c r="P9" s="42"/>
      <c r="Q9" s="42"/>
    </row>
    <row r="10" spans="1:17" s="43" customFormat="1" ht="138" customHeight="1" x14ac:dyDescent="0.25">
      <c r="A10" s="23"/>
      <c r="B10" s="30"/>
      <c r="C10" s="31"/>
      <c r="D10" s="17" t="s">
        <v>25</v>
      </c>
      <c r="E10" s="38"/>
      <c r="F10" s="39"/>
      <c r="G10" s="20">
        <v>4</v>
      </c>
      <c r="H10" s="20">
        <v>3</v>
      </c>
      <c r="I10" s="20">
        <f>G10-H10</f>
        <v>1</v>
      </c>
      <c r="J10" s="32"/>
      <c r="K10" s="44"/>
      <c r="L10" s="41"/>
      <c r="M10" s="21" t="s">
        <v>35</v>
      </c>
      <c r="N10" s="22"/>
      <c r="O10" s="42"/>
      <c r="P10" s="42"/>
      <c r="Q10" s="42"/>
    </row>
    <row r="11" spans="1:17" ht="147.75" customHeight="1" x14ac:dyDescent="0.25">
      <c r="A11" s="23"/>
      <c r="B11" s="35" t="s">
        <v>36</v>
      </c>
      <c r="C11" s="17" t="s">
        <v>37</v>
      </c>
      <c r="D11" s="17" t="s">
        <v>25</v>
      </c>
      <c r="E11" s="18"/>
      <c r="F11" s="26" t="s">
        <v>22</v>
      </c>
      <c r="G11" s="20">
        <v>55</v>
      </c>
      <c r="H11" s="20">
        <v>50</v>
      </c>
      <c r="I11" s="20"/>
      <c r="J11" s="12">
        <f>G11-H11</f>
        <v>5</v>
      </c>
      <c r="K11" s="45" t="s">
        <v>38</v>
      </c>
      <c r="L11" s="3" t="s">
        <v>29</v>
      </c>
      <c r="M11" s="21" t="s">
        <v>35</v>
      </c>
      <c r="N11" s="22"/>
      <c r="O11" s="5"/>
      <c r="P11" s="5"/>
      <c r="Q11" s="5"/>
    </row>
    <row r="12" spans="1:17" ht="72.75" hidden="1" customHeight="1" outlineLevel="2" x14ac:dyDescent="0.25">
      <c r="A12" s="23"/>
      <c r="B12" s="35" t="s">
        <v>39</v>
      </c>
      <c r="C12" s="17" t="s">
        <v>40</v>
      </c>
      <c r="D12" s="17" t="s">
        <v>41</v>
      </c>
      <c r="E12" s="18"/>
      <c r="F12" s="26"/>
      <c r="G12" s="20">
        <v>25</v>
      </c>
      <c r="H12" s="20">
        <v>25</v>
      </c>
      <c r="I12" s="20"/>
      <c r="J12" s="12" t="e">
        <f>+H12*$C$4</f>
        <v>#VALUE!</v>
      </c>
      <c r="K12" s="46" t="s">
        <v>42</v>
      </c>
      <c r="L12" s="3"/>
      <c r="M12" s="21" t="s">
        <v>43</v>
      </c>
      <c r="N12" s="22"/>
      <c r="O12" s="5"/>
      <c r="P12" s="5"/>
      <c r="Q12" s="5"/>
    </row>
    <row r="13" spans="1:17" s="43" customFormat="1" ht="45" hidden="1" customHeight="1" outlineLevel="1" collapsed="1" x14ac:dyDescent="0.25">
      <c r="A13" s="23"/>
      <c r="B13" s="35" t="s">
        <v>44</v>
      </c>
      <c r="C13" s="47" t="s">
        <v>45</v>
      </c>
      <c r="D13" s="48" t="s">
        <v>17</v>
      </c>
      <c r="E13" s="38"/>
      <c r="F13" s="49"/>
      <c r="G13" s="20">
        <v>4</v>
      </c>
      <c r="H13" s="20">
        <v>4</v>
      </c>
      <c r="I13" s="20"/>
      <c r="J13" s="50">
        <f>G13-H13</f>
        <v>0</v>
      </c>
      <c r="K13" s="51" t="s">
        <v>46</v>
      </c>
      <c r="L13" s="41"/>
      <c r="M13" s="21"/>
      <c r="N13" s="22"/>
      <c r="O13" s="42"/>
      <c r="P13" s="42"/>
      <c r="Q13" s="42"/>
    </row>
    <row r="14" spans="1:17" ht="55.5" hidden="1" customHeight="1" outlineLevel="1" collapsed="1" x14ac:dyDescent="0.25">
      <c r="A14" s="23"/>
      <c r="B14" s="35" t="s">
        <v>47</v>
      </c>
      <c r="C14" s="25" t="s">
        <v>48</v>
      </c>
      <c r="D14" s="24" t="s">
        <v>17</v>
      </c>
      <c r="E14" s="18"/>
      <c r="F14" s="26"/>
      <c r="G14" s="20">
        <v>1</v>
      </c>
      <c r="H14" s="20">
        <v>1</v>
      </c>
      <c r="I14" s="20">
        <f>G14-H14</f>
        <v>0</v>
      </c>
      <c r="J14" s="27">
        <f>(G14+G15)-(H14+H15)</f>
        <v>2</v>
      </c>
      <c r="K14" s="52" t="s">
        <v>49</v>
      </c>
      <c r="L14" s="3"/>
      <c r="M14" s="21" t="s">
        <v>50</v>
      </c>
      <c r="N14" s="22"/>
      <c r="O14" s="5"/>
      <c r="P14" s="5"/>
      <c r="Q14" s="5"/>
    </row>
    <row r="15" spans="1:17" s="43" customFormat="1" ht="136.5" hidden="1" customHeight="1" outlineLevel="1" collapsed="1" x14ac:dyDescent="0.25">
      <c r="A15" s="23"/>
      <c r="B15" s="35" t="s">
        <v>51</v>
      </c>
      <c r="C15" s="31"/>
      <c r="D15" s="30"/>
      <c r="E15" s="38"/>
      <c r="F15" s="49"/>
      <c r="G15" s="20">
        <f>2+19</f>
        <v>21</v>
      </c>
      <c r="H15" s="20">
        <v>19</v>
      </c>
      <c r="I15" s="20">
        <f>G15-H15</f>
        <v>2</v>
      </c>
      <c r="J15" s="32"/>
      <c r="K15" s="53"/>
      <c r="L15" s="41"/>
      <c r="M15" s="21" t="s">
        <v>50</v>
      </c>
      <c r="N15" s="54"/>
      <c r="O15" s="42"/>
      <c r="P15" s="42"/>
      <c r="Q15" s="42"/>
    </row>
    <row r="16" spans="1:17" s="43" customFormat="1" ht="128.25" customHeight="1" collapsed="1" x14ac:dyDescent="0.25">
      <c r="A16" s="23"/>
      <c r="B16" s="35" t="s">
        <v>52</v>
      </c>
      <c r="C16" s="47" t="s">
        <v>53</v>
      </c>
      <c r="D16" s="48" t="s">
        <v>17</v>
      </c>
      <c r="E16" s="38"/>
      <c r="F16" s="49"/>
      <c r="G16" s="20">
        <v>3</v>
      </c>
      <c r="H16" s="20">
        <v>2</v>
      </c>
      <c r="I16" s="20"/>
      <c r="J16" s="50">
        <f>G16-H16</f>
        <v>1</v>
      </c>
      <c r="K16" s="51" t="s">
        <v>54</v>
      </c>
      <c r="L16" s="41"/>
      <c r="M16" s="21" t="s">
        <v>50</v>
      </c>
      <c r="N16" s="22"/>
      <c r="O16" s="42"/>
      <c r="P16" s="42"/>
      <c r="Q16" s="42"/>
    </row>
    <row r="17" spans="1:17" s="43" customFormat="1" ht="127.5" hidden="1" customHeight="1" outlineLevel="1" x14ac:dyDescent="0.25">
      <c r="A17" s="55"/>
      <c r="B17" s="35" t="s">
        <v>55</v>
      </c>
      <c r="C17" s="56" t="s">
        <v>56</v>
      </c>
      <c r="D17" s="48" t="s">
        <v>17</v>
      </c>
      <c r="E17" s="38"/>
      <c r="F17" s="49"/>
      <c r="G17" s="20">
        <v>20</v>
      </c>
      <c r="H17" s="20">
        <v>20</v>
      </c>
      <c r="I17" s="20"/>
      <c r="J17" s="50">
        <f t="shared" ref="J17:J28" si="0">G17-H17</f>
        <v>0</v>
      </c>
      <c r="K17" s="51" t="s">
        <v>57</v>
      </c>
      <c r="L17" s="41"/>
      <c r="M17" s="21" t="s">
        <v>50</v>
      </c>
      <c r="N17" s="22"/>
      <c r="O17" s="42"/>
      <c r="P17" s="42"/>
      <c r="Q17" s="42"/>
    </row>
    <row r="18" spans="1:17" ht="222.75" customHeight="1" collapsed="1" x14ac:dyDescent="0.25">
      <c r="A18" s="14" t="s">
        <v>58</v>
      </c>
      <c r="B18" s="35" t="s">
        <v>59</v>
      </c>
      <c r="C18" s="17" t="s">
        <v>60</v>
      </c>
      <c r="D18" s="17" t="s">
        <v>17</v>
      </c>
      <c r="E18" s="18"/>
      <c r="F18" s="19"/>
      <c r="G18" s="20">
        <v>150</v>
      </c>
      <c r="H18" s="20">
        <v>137</v>
      </c>
      <c r="I18" s="20"/>
      <c r="J18" s="12">
        <f t="shared" si="0"/>
        <v>13</v>
      </c>
      <c r="K18" s="57" t="s">
        <v>61</v>
      </c>
      <c r="L18" s="3" t="s">
        <v>29</v>
      </c>
      <c r="M18" s="21"/>
      <c r="N18" s="22" t="s">
        <v>62</v>
      </c>
      <c r="O18" s="5"/>
      <c r="P18" s="5"/>
      <c r="Q18" s="5"/>
    </row>
    <row r="19" spans="1:17" s="61" customFormat="1" ht="11.25" hidden="1" customHeight="1" outlineLevel="1" x14ac:dyDescent="0.25">
      <c r="A19" s="23"/>
      <c r="B19" s="35" t="s">
        <v>63</v>
      </c>
      <c r="C19" s="16" t="s">
        <v>64</v>
      </c>
      <c r="D19" s="17" t="s">
        <v>65</v>
      </c>
      <c r="E19" s="18"/>
      <c r="F19" s="19"/>
      <c r="G19" s="20">
        <v>100</v>
      </c>
      <c r="H19" s="20">
        <v>100</v>
      </c>
      <c r="I19" s="20"/>
      <c r="J19" s="12">
        <f>G19-H19</f>
        <v>0</v>
      </c>
      <c r="K19" s="45" t="s">
        <v>66</v>
      </c>
      <c r="L19" s="58" t="s">
        <v>29</v>
      </c>
      <c r="M19" s="21"/>
      <c r="N19" s="59" t="s">
        <v>67</v>
      </c>
      <c r="O19" s="60"/>
      <c r="P19" s="60"/>
      <c r="Q19" s="60"/>
    </row>
    <row r="20" spans="1:17" s="61" customFormat="1" ht="131.25" customHeight="1" collapsed="1" x14ac:dyDescent="0.25">
      <c r="A20" s="23"/>
      <c r="B20" s="35" t="s">
        <v>68</v>
      </c>
      <c r="C20" s="16" t="s">
        <v>69</v>
      </c>
      <c r="D20" s="17" t="s">
        <v>17</v>
      </c>
      <c r="E20" s="18"/>
      <c r="F20" s="19"/>
      <c r="G20" s="20">
        <v>60</v>
      </c>
      <c r="H20" s="20">
        <v>20</v>
      </c>
      <c r="I20" s="20"/>
      <c r="J20" s="12">
        <f>G20-H20</f>
        <v>40</v>
      </c>
      <c r="K20" s="16" t="s">
        <v>70</v>
      </c>
      <c r="L20" s="58"/>
      <c r="M20" s="21"/>
      <c r="N20" s="59" t="s">
        <v>67</v>
      </c>
      <c r="O20" s="60"/>
      <c r="P20" s="60"/>
      <c r="Q20" s="60"/>
    </row>
    <row r="21" spans="1:17" s="61" customFormat="1" ht="79.5" customHeight="1" x14ac:dyDescent="0.25">
      <c r="A21" s="23"/>
      <c r="B21" s="35" t="s">
        <v>71</v>
      </c>
      <c r="C21" s="16" t="s">
        <v>72</v>
      </c>
      <c r="D21" s="17" t="s">
        <v>17</v>
      </c>
      <c r="E21" s="38"/>
      <c r="F21" s="39"/>
      <c r="G21" s="20">
        <v>75</v>
      </c>
      <c r="H21" s="20">
        <v>60</v>
      </c>
      <c r="I21" s="20"/>
      <c r="J21" s="12">
        <f t="shared" si="0"/>
        <v>15</v>
      </c>
      <c r="K21" s="16" t="s">
        <v>73</v>
      </c>
      <c r="L21" s="62" t="s">
        <v>74</v>
      </c>
      <c r="M21" s="21"/>
      <c r="N21" s="22" t="s">
        <v>75</v>
      </c>
      <c r="O21" s="60"/>
      <c r="P21" s="60"/>
      <c r="Q21" s="60"/>
    </row>
    <row r="22" spans="1:17" s="43" customFormat="1" ht="37.5" hidden="1" customHeight="1" outlineLevel="1" x14ac:dyDescent="0.25">
      <c r="A22" s="55"/>
      <c r="B22" s="35" t="s">
        <v>76</v>
      </c>
      <c r="C22" s="16" t="s">
        <v>77</v>
      </c>
      <c r="D22" s="17" t="s">
        <v>17</v>
      </c>
      <c r="E22" s="63"/>
      <c r="F22" s="39"/>
      <c r="G22" s="20">
        <v>10</v>
      </c>
      <c r="H22" s="20">
        <v>10</v>
      </c>
      <c r="I22" s="20"/>
      <c r="J22" s="12">
        <f t="shared" si="0"/>
        <v>0</v>
      </c>
      <c r="K22" s="46" t="s">
        <v>78</v>
      </c>
      <c r="L22" s="64"/>
      <c r="M22" s="21"/>
      <c r="N22" s="22"/>
      <c r="O22" s="42"/>
      <c r="P22" s="42"/>
      <c r="Q22" s="42"/>
    </row>
    <row r="23" spans="1:17" s="69" customFormat="1" ht="42" hidden="1" customHeight="1" outlineLevel="1" collapsed="1" x14ac:dyDescent="0.25">
      <c r="A23" s="65" t="s">
        <v>79</v>
      </c>
      <c r="B23" s="24" t="s">
        <v>80</v>
      </c>
      <c r="C23" s="66" t="s">
        <v>81</v>
      </c>
      <c r="D23" s="17" t="s">
        <v>17</v>
      </c>
      <c r="E23" s="67"/>
      <c r="F23" s="68"/>
      <c r="G23" s="20">
        <v>20</v>
      </c>
      <c r="H23" s="20">
        <v>20</v>
      </c>
      <c r="I23" s="20">
        <f>G23-H23</f>
        <v>0</v>
      </c>
      <c r="J23" s="27">
        <f>(G23-H23)+(G24-H24)</f>
        <v>0</v>
      </c>
      <c r="K23" s="66" t="s">
        <v>82</v>
      </c>
      <c r="L23" s="64"/>
      <c r="M23" s="21"/>
      <c r="N23" s="22"/>
      <c r="O23" s="41"/>
      <c r="P23" s="41"/>
      <c r="Q23" s="41"/>
    </row>
    <row r="24" spans="1:17" s="43" customFormat="1" ht="114.75" hidden="1" customHeight="1" outlineLevel="1" x14ac:dyDescent="0.25">
      <c r="A24" s="70"/>
      <c r="B24" s="30"/>
      <c r="C24" s="71"/>
      <c r="D24" s="17" t="s">
        <v>83</v>
      </c>
      <c r="E24" s="63"/>
      <c r="F24" s="39"/>
      <c r="G24" s="20">
        <v>26</v>
      </c>
      <c r="H24" s="20">
        <v>26</v>
      </c>
      <c r="I24" s="20">
        <f>G24-H24</f>
        <v>0</v>
      </c>
      <c r="J24" s="32"/>
      <c r="K24" s="71"/>
      <c r="L24" s="64"/>
      <c r="M24" s="21"/>
      <c r="N24" s="22"/>
      <c r="O24" s="42"/>
      <c r="P24" s="42"/>
      <c r="Q24" s="42"/>
    </row>
    <row r="25" spans="1:17" s="43" customFormat="1" ht="33.75" hidden="1" customHeight="1" outlineLevel="1" x14ac:dyDescent="0.25">
      <c r="A25" s="70"/>
      <c r="B25" s="72" t="s">
        <v>84</v>
      </c>
      <c r="C25" s="36" t="s">
        <v>85</v>
      </c>
      <c r="D25" s="17" t="s">
        <v>17</v>
      </c>
      <c r="E25" s="63"/>
      <c r="F25" s="39"/>
      <c r="G25" s="20">
        <v>3</v>
      </c>
      <c r="H25" s="20">
        <v>3</v>
      </c>
      <c r="I25" s="20"/>
      <c r="J25" s="12">
        <f>G25-H25</f>
        <v>0</v>
      </c>
      <c r="K25" s="73"/>
      <c r="L25" s="64"/>
      <c r="M25" s="21"/>
      <c r="N25" s="22"/>
      <c r="O25" s="42"/>
      <c r="P25" s="42"/>
      <c r="Q25" s="42"/>
    </row>
    <row r="26" spans="1:17" s="43" customFormat="1" ht="41.25" hidden="1" customHeight="1" outlineLevel="1" x14ac:dyDescent="0.25">
      <c r="A26" s="74"/>
      <c r="B26" s="72" t="s">
        <v>86</v>
      </c>
      <c r="C26" s="36" t="s">
        <v>87</v>
      </c>
      <c r="D26" s="17" t="s">
        <v>17</v>
      </c>
      <c r="E26" s="63"/>
      <c r="F26" s="39"/>
      <c r="G26" s="20">
        <v>2</v>
      </c>
      <c r="H26" s="20">
        <v>2</v>
      </c>
      <c r="I26" s="20"/>
      <c r="J26" s="12">
        <f>G26-H26</f>
        <v>0</v>
      </c>
      <c r="K26" s="73"/>
      <c r="L26" s="64"/>
      <c r="M26" s="21"/>
      <c r="N26" s="22"/>
      <c r="O26" s="42"/>
      <c r="P26" s="42"/>
      <c r="Q26" s="42"/>
    </row>
    <row r="27" spans="1:17" s="43" customFormat="1" ht="65.25" hidden="1" customHeight="1" outlineLevel="1" collapsed="1" x14ac:dyDescent="0.25">
      <c r="A27" s="65" t="s">
        <v>88</v>
      </c>
      <c r="B27" s="35" t="s">
        <v>89</v>
      </c>
      <c r="C27" s="16" t="s">
        <v>90</v>
      </c>
      <c r="D27" s="17" t="s">
        <v>17</v>
      </c>
      <c r="E27" s="63"/>
      <c r="F27" s="39"/>
      <c r="G27" s="20">
        <v>5</v>
      </c>
      <c r="H27" s="20">
        <v>5</v>
      </c>
      <c r="I27" s="20"/>
      <c r="J27" s="12">
        <f t="shared" si="0"/>
        <v>0</v>
      </c>
      <c r="K27" s="75" t="s">
        <v>91</v>
      </c>
      <c r="L27" s="64"/>
      <c r="M27" s="21" t="s">
        <v>92</v>
      </c>
      <c r="N27" s="22"/>
      <c r="O27" s="42"/>
      <c r="P27" s="42"/>
      <c r="Q27" s="42"/>
    </row>
    <row r="28" spans="1:17" s="43" customFormat="1" ht="71.25" hidden="1" customHeight="1" outlineLevel="1" x14ac:dyDescent="0.25">
      <c r="A28" s="74"/>
      <c r="B28" s="35" t="s">
        <v>93</v>
      </c>
      <c r="C28" s="16" t="s">
        <v>94</v>
      </c>
      <c r="D28" s="17" t="s">
        <v>17</v>
      </c>
      <c r="E28" s="63"/>
      <c r="F28" s="39"/>
      <c r="G28" s="20">
        <v>5</v>
      </c>
      <c r="H28" s="20">
        <v>5</v>
      </c>
      <c r="I28" s="20"/>
      <c r="J28" s="12">
        <f t="shared" si="0"/>
        <v>0</v>
      </c>
      <c r="K28" s="57" t="s">
        <v>95</v>
      </c>
      <c r="L28" s="64"/>
      <c r="M28" s="21"/>
      <c r="N28" s="22" t="s">
        <v>96</v>
      </c>
      <c r="O28" s="42"/>
      <c r="P28" s="42"/>
      <c r="Q28" s="42"/>
    </row>
    <row r="29" spans="1:17" s="85" customFormat="1" collapsed="1" x14ac:dyDescent="0.25">
      <c r="A29" s="76" t="s">
        <v>97</v>
      </c>
      <c r="B29" s="77"/>
      <c r="C29" s="77"/>
      <c r="D29" s="77"/>
      <c r="E29" s="77"/>
      <c r="F29" s="78"/>
      <c r="G29" s="79">
        <f>SUM(G5:G28)</f>
        <v>1358</v>
      </c>
      <c r="H29" s="79">
        <f>SUM(H5:H21)</f>
        <v>1178</v>
      </c>
      <c r="I29" s="79"/>
      <c r="J29" s="80">
        <f>SUM(J6+J8+J9+J11+J14+J16+J17+J18+J20+J21+J23+J27)</f>
        <v>109</v>
      </c>
      <c r="K29" s="81"/>
      <c r="L29" s="82"/>
      <c r="M29" s="83"/>
      <c r="N29" s="84"/>
      <c r="O29" s="84"/>
      <c r="P29" s="84"/>
      <c r="Q29" s="84"/>
    </row>
    <row r="30" spans="1:17" ht="14.25" customHeight="1" x14ac:dyDescent="0.25"/>
    <row r="33" spans="1:3" x14ac:dyDescent="0.25">
      <c r="A33" s="89" t="s">
        <v>98</v>
      </c>
      <c r="B33" s="89" t="s">
        <v>99</v>
      </c>
      <c r="C33" s="90" t="s">
        <v>100</v>
      </c>
    </row>
    <row r="34" spans="1:3" x14ac:dyDescent="0.25">
      <c r="A34" s="91" t="s">
        <v>59</v>
      </c>
      <c r="B34" s="92" t="s">
        <v>101</v>
      </c>
      <c r="C34" s="92">
        <v>1</v>
      </c>
    </row>
    <row r="35" spans="1:3" x14ac:dyDescent="0.25">
      <c r="A35" s="91" t="s">
        <v>62</v>
      </c>
      <c r="B35" s="93" t="s">
        <v>102</v>
      </c>
      <c r="C35" s="92">
        <v>1</v>
      </c>
    </row>
    <row r="36" spans="1:3" x14ac:dyDescent="0.25">
      <c r="A36" s="91" t="s">
        <v>31</v>
      </c>
      <c r="B36" s="92" t="s">
        <v>103</v>
      </c>
      <c r="C36" s="92">
        <v>1</v>
      </c>
    </row>
    <row r="37" spans="1:3" x14ac:dyDescent="0.25">
      <c r="A37" s="91" t="s">
        <v>20</v>
      </c>
      <c r="B37" s="92" t="s">
        <v>104</v>
      </c>
      <c r="C37" s="92">
        <v>10</v>
      </c>
    </row>
    <row r="38" spans="1:3" x14ac:dyDescent="0.25">
      <c r="A38" s="94" t="s">
        <v>97</v>
      </c>
      <c r="B38" s="95"/>
      <c r="C38" s="96">
        <f>SUM(C34:C37)</f>
        <v>13</v>
      </c>
    </row>
    <row r="183" spans="9:9" x14ac:dyDescent="0.25">
      <c r="I183">
        <v>45</v>
      </c>
    </row>
  </sheetData>
  <mergeCells count="26">
    <mergeCell ref="A27:A28"/>
    <mergeCell ref="A29:F29"/>
    <mergeCell ref="A38:B38"/>
    <mergeCell ref="A18:A22"/>
    <mergeCell ref="A23:A26"/>
    <mergeCell ref="B23:B24"/>
    <mergeCell ref="C23:C24"/>
    <mergeCell ref="J23:J24"/>
    <mergeCell ref="K23:K24"/>
    <mergeCell ref="L6:L7"/>
    <mergeCell ref="M6:M7"/>
    <mergeCell ref="N6:N7"/>
    <mergeCell ref="B9:B10"/>
    <mergeCell ref="C9:C10"/>
    <mergeCell ref="J9:J10"/>
    <mergeCell ref="K9:K10"/>
    <mergeCell ref="A1:K3"/>
    <mergeCell ref="A5:A17"/>
    <mergeCell ref="B6:B7"/>
    <mergeCell ref="C6:C7"/>
    <mergeCell ref="J6:J7"/>
    <mergeCell ref="K6:K7"/>
    <mergeCell ref="C14:C15"/>
    <mergeCell ref="D14:D15"/>
    <mergeCell ref="J14:J15"/>
    <mergeCell ref="K14:K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0"/>
  <sheetViews>
    <sheetView zoomScale="80" zoomScaleNormal="80" workbookViewId="0">
      <selection activeCell="A2" sqref="A2"/>
    </sheetView>
  </sheetViews>
  <sheetFormatPr defaultRowHeight="15" outlineLevelRow="2" outlineLevelCol="1" x14ac:dyDescent="0.25"/>
  <cols>
    <col min="1" max="1" width="11.28515625" bestFit="1" customWidth="1"/>
    <col min="2" max="2" width="14.85546875" style="86" bestFit="1" customWidth="1"/>
    <col min="3" max="3" width="80.28515625" style="267" customWidth="1"/>
    <col min="4" max="4" width="50" style="86" bestFit="1" customWidth="1"/>
    <col min="5" max="5" width="12.85546875" style="86" hidden="1" customWidth="1" outlineLevel="1"/>
    <col min="6" max="6" width="41.140625" style="86" hidden="1" customWidth="1" outlineLevel="1"/>
    <col min="7" max="9" width="10.7109375" hidden="1" customWidth="1" outlineLevel="1"/>
    <col min="10" max="10" width="20" hidden="1" customWidth="1" outlineLevel="1"/>
    <col min="11" max="11" width="5.85546875" hidden="1" customWidth="1" outlineLevel="1"/>
    <col min="12" max="12" width="11" customWidth="1" collapsed="1"/>
    <col min="13" max="13" width="13.28515625" hidden="1" customWidth="1" outlineLevel="1"/>
    <col min="14" max="14" width="15.7109375" hidden="1" customWidth="1" outlineLevel="1"/>
    <col min="15" max="15" width="20" hidden="1" customWidth="1" outlineLevel="1"/>
    <col min="16" max="17" width="11" hidden="1" customWidth="1" outlineLevel="1"/>
    <col min="18" max="18" width="10.7109375" customWidth="1" collapsed="1"/>
    <col min="19" max="19" width="76.7109375" customWidth="1"/>
    <col min="20" max="20" width="42.28515625" customWidth="1"/>
    <col min="21" max="21" width="9.85546875" bestFit="1" customWidth="1"/>
  </cols>
  <sheetData>
    <row r="1" spans="1:77" ht="47.25" customHeight="1" thickBot="1" x14ac:dyDescent="0.3">
      <c r="A1" s="97" t="s">
        <v>275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100"/>
    </row>
    <row r="2" spans="1:77" ht="50.25" customHeight="1" x14ac:dyDescent="0.3">
      <c r="A2" s="101" t="s">
        <v>0</v>
      </c>
      <c r="B2" s="102" t="s">
        <v>105</v>
      </c>
      <c r="C2" s="101" t="s">
        <v>2</v>
      </c>
      <c r="D2" s="101" t="s">
        <v>106</v>
      </c>
      <c r="E2" s="103" t="s">
        <v>107</v>
      </c>
      <c r="F2" s="104" t="s">
        <v>5</v>
      </c>
      <c r="G2" s="105" t="s">
        <v>108</v>
      </c>
      <c r="H2" s="106" t="s">
        <v>109</v>
      </c>
      <c r="I2" s="107" t="s">
        <v>110</v>
      </c>
      <c r="J2" s="106" t="s">
        <v>111</v>
      </c>
      <c r="K2" s="108" t="s">
        <v>112</v>
      </c>
      <c r="L2" s="108" t="s">
        <v>113</v>
      </c>
      <c r="M2" s="105" t="s">
        <v>114</v>
      </c>
      <c r="N2" s="105" t="s">
        <v>115</v>
      </c>
      <c r="O2" s="105" t="s">
        <v>116</v>
      </c>
      <c r="P2" s="107" t="s">
        <v>117</v>
      </c>
      <c r="Q2" s="109" t="s">
        <v>118</v>
      </c>
      <c r="R2" s="109" t="s">
        <v>119</v>
      </c>
      <c r="S2" s="110" t="s">
        <v>120</v>
      </c>
      <c r="T2" s="110" t="s">
        <v>121</v>
      </c>
    </row>
    <row r="3" spans="1:77" ht="23.25" customHeight="1" thickBot="1" x14ac:dyDescent="0.35">
      <c r="A3" s="111"/>
      <c r="B3" s="111"/>
      <c r="C3" s="112"/>
      <c r="D3" s="111"/>
      <c r="E3" s="113"/>
      <c r="F3" s="114"/>
      <c r="G3" s="115"/>
      <c r="H3" s="116"/>
      <c r="I3" s="117"/>
      <c r="J3" s="116"/>
      <c r="K3" s="118"/>
      <c r="L3" s="118"/>
      <c r="M3" s="115"/>
      <c r="N3" s="115"/>
      <c r="O3" s="115"/>
      <c r="P3" s="117"/>
      <c r="Q3" s="119"/>
      <c r="R3" s="119"/>
      <c r="S3" s="120"/>
      <c r="T3" s="120"/>
    </row>
    <row r="4" spans="1:77" s="132" customFormat="1" ht="30.75" hidden="1" customHeight="1" outlineLevel="1" x14ac:dyDescent="0.25">
      <c r="A4" s="121" t="s">
        <v>122</v>
      </c>
      <c r="B4" s="122" t="s">
        <v>123</v>
      </c>
      <c r="C4" s="123" t="s">
        <v>124</v>
      </c>
      <c r="D4" s="123" t="s">
        <v>125</v>
      </c>
      <c r="E4" s="124" t="s">
        <v>126</v>
      </c>
      <c r="F4" s="124" t="s">
        <v>126</v>
      </c>
      <c r="G4" s="125">
        <f>32+100</f>
        <v>132</v>
      </c>
      <c r="H4" s="125"/>
      <c r="I4" s="125">
        <f>G4+H4</f>
        <v>132</v>
      </c>
      <c r="J4" s="126"/>
      <c r="K4" s="126"/>
      <c r="L4" s="126">
        <f>H4-J4-K4</f>
        <v>0</v>
      </c>
      <c r="M4" s="127"/>
      <c r="N4" s="126"/>
      <c r="O4" s="126"/>
      <c r="P4" s="126"/>
      <c r="Q4" s="126">
        <v>132</v>
      </c>
      <c r="R4" s="128">
        <f t="shared" ref="R4:R17" si="0">G4-M4-N4-O4-P4-Q4</f>
        <v>0</v>
      </c>
      <c r="S4" s="129"/>
      <c r="T4" s="130"/>
      <c r="U4" s="131" t="s">
        <v>127</v>
      </c>
    </row>
    <row r="5" spans="1:77" s="132" customFormat="1" ht="15.75" hidden="1" customHeight="1" outlineLevel="1" x14ac:dyDescent="0.25">
      <c r="A5" s="133"/>
      <c r="B5" s="122" t="s">
        <v>128</v>
      </c>
      <c r="C5" s="123" t="s">
        <v>129</v>
      </c>
      <c r="D5" s="123" t="s">
        <v>130</v>
      </c>
      <c r="E5" s="124"/>
      <c r="F5" s="124"/>
      <c r="G5" s="125">
        <v>20</v>
      </c>
      <c r="H5" s="125"/>
      <c r="I5" s="125"/>
      <c r="J5" s="126"/>
      <c r="K5" s="126"/>
      <c r="L5" s="126"/>
      <c r="M5" s="127"/>
      <c r="N5" s="126"/>
      <c r="O5" s="126"/>
      <c r="P5" s="126"/>
      <c r="Q5" s="126">
        <v>20</v>
      </c>
      <c r="R5" s="128">
        <f t="shared" si="0"/>
        <v>0</v>
      </c>
      <c r="S5" s="134"/>
      <c r="T5" s="135"/>
      <c r="U5" s="131"/>
    </row>
    <row r="6" spans="1:77" s="132" customFormat="1" ht="132.75" hidden="1" customHeight="1" outlineLevel="1" collapsed="1" x14ac:dyDescent="0.25">
      <c r="A6" s="133"/>
      <c r="B6" s="122" t="s">
        <v>131</v>
      </c>
      <c r="C6" s="123" t="s">
        <v>132</v>
      </c>
      <c r="D6" s="123" t="s">
        <v>130</v>
      </c>
      <c r="E6" s="124"/>
      <c r="F6" s="124"/>
      <c r="G6" s="125">
        <v>30</v>
      </c>
      <c r="H6" s="125"/>
      <c r="I6" s="125"/>
      <c r="J6" s="126"/>
      <c r="K6" s="126"/>
      <c r="L6" s="126"/>
      <c r="M6" s="127"/>
      <c r="N6" s="126"/>
      <c r="O6" s="126"/>
      <c r="P6" s="126"/>
      <c r="Q6" s="126">
        <v>30</v>
      </c>
      <c r="R6" s="128">
        <f t="shared" si="0"/>
        <v>0</v>
      </c>
      <c r="S6" s="129" t="s">
        <v>133</v>
      </c>
      <c r="T6" s="135"/>
      <c r="U6" s="131"/>
    </row>
    <row r="7" spans="1:77" s="132" customFormat="1" ht="78.75" hidden="1" customHeight="1" outlineLevel="2" collapsed="1" x14ac:dyDescent="0.25">
      <c r="A7" s="133"/>
      <c r="B7" s="122" t="s">
        <v>134</v>
      </c>
      <c r="C7" s="123" t="s">
        <v>135</v>
      </c>
      <c r="D7" s="136" t="s">
        <v>136</v>
      </c>
      <c r="E7" s="124"/>
      <c r="F7" s="124"/>
      <c r="G7" s="125">
        <v>25</v>
      </c>
      <c r="H7" s="125"/>
      <c r="I7" s="125"/>
      <c r="J7" s="126"/>
      <c r="K7" s="126"/>
      <c r="L7" s="126"/>
      <c r="M7" s="127"/>
      <c r="N7" s="126"/>
      <c r="O7" s="126"/>
      <c r="P7" s="126"/>
      <c r="Q7" s="126">
        <v>25</v>
      </c>
      <c r="R7" s="128">
        <v>0</v>
      </c>
      <c r="S7" s="129" t="s">
        <v>137</v>
      </c>
      <c r="T7" s="135"/>
      <c r="U7" s="131"/>
      <c r="BY7" s="137" t="s">
        <v>138</v>
      </c>
    </row>
    <row r="8" spans="1:77" s="132" customFormat="1" ht="38.25" hidden="1" customHeight="1" outlineLevel="1" collapsed="1" x14ac:dyDescent="0.25">
      <c r="A8" s="133"/>
      <c r="B8" s="122" t="s">
        <v>139</v>
      </c>
      <c r="C8" s="123" t="s">
        <v>140</v>
      </c>
      <c r="D8" s="136" t="s">
        <v>136</v>
      </c>
      <c r="E8" s="124"/>
      <c r="F8" s="124"/>
      <c r="G8" s="125">
        <v>44</v>
      </c>
      <c r="H8" s="125"/>
      <c r="I8" s="125"/>
      <c r="J8" s="126"/>
      <c r="K8" s="126"/>
      <c r="L8" s="126"/>
      <c r="M8" s="127"/>
      <c r="N8" s="126"/>
      <c r="O8" s="126"/>
      <c r="P8" s="126"/>
      <c r="Q8" s="126">
        <v>44</v>
      </c>
      <c r="R8" s="128">
        <f>G8-M8-N8-O8-P8-Q8</f>
        <v>0</v>
      </c>
      <c r="S8" s="134"/>
      <c r="T8" s="135"/>
      <c r="U8" s="131"/>
    </row>
    <row r="9" spans="1:77" s="132" customFormat="1" ht="77.25" customHeight="1" collapsed="1" thickBot="1" x14ac:dyDescent="0.3">
      <c r="A9" s="133"/>
      <c r="B9" s="138" t="s">
        <v>141</v>
      </c>
      <c r="C9" s="123" t="s">
        <v>142</v>
      </c>
      <c r="D9" s="136" t="s">
        <v>136</v>
      </c>
      <c r="E9" s="124"/>
      <c r="F9" s="124"/>
      <c r="G9" s="125">
        <v>30</v>
      </c>
      <c r="H9" s="125"/>
      <c r="I9" s="125"/>
      <c r="J9" s="126"/>
      <c r="K9" s="126"/>
      <c r="L9" s="139"/>
      <c r="M9" s="127"/>
      <c r="N9" s="126"/>
      <c r="O9" s="126"/>
      <c r="P9" s="126"/>
      <c r="Q9" s="126">
        <v>14</v>
      </c>
      <c r="R9" s="128">
        <f>G9-M9-N9-O9-P9-Q9</f>
        <v>16</v>
      </c>
      <c r="S9" s="129" t="s">
        <v>143</v>
      </c>
      <c r="T9" s="135"/>
      <c r="U9" s="131"/>
    </row>
    <row r="10" spans="1:77" s="132" customFormat="1" ht="59.25" hidden="1" customHeight="1" outlineLevel="1" x14ac:dyDescent="0.25">
      <c r="A10" s="140"/>
      <c r="B10" s="138" t="s">
        <v>144</v>
      </c>
      <c r="C10" s="123" t="s">
        <v>145</v>
      </c>
      <c r="D10" s="136" t="s">
        <v>146</v>
      </c>
      <c r="E10" s="124"/>
      <c r="F10" s="124"/>
      <c r="G10" s="125">
        <v>100</v>
      </c>
      <c r="H10" s="125"/>
      <c r="I10" s="125">
        <v>100</v>
      </c>
      <c r="J10" s="126"/>
      <c r="K10" s="126"/>
      <c r="L10" s="139"/>
      <c r="M10" s="127"/>
      <c r="N10" s="126"/>
      <c r="O10" s="126"/>
      <c r="P10" s="126"/>
      <c r="Q10" s="126">
        <v>100</v>
      </c>
      <c r="R10" s="128">
        <f>G10-M10-N10-O10-P10-Q10</f>
        <v>0</v>
      </c>
      <c r="S10" s="129"/>
      <c r="T10" s="135"/>
      <c r="U10" s="131"/>
    </row>
    <row r="11" spans="1:77" s="132" customFormat="1" ht="45.75" collapsed="1" thickBot="1" x14ac:dyDescent="0.3">
      <c r="A11" s="121" t="s">
        <v>147</v>
      </c>
      <c r="B11" s="141" t="s">
        <v>148</v>
      </c>
      <c r="C11" s="123" t="s">
        <v>149</v>
      </c>
      <c r="D11" s="123" t="s">
        <v>130</v>
      </c>
      <c r="E11" s="123" t="s">
        <v>150</v>
      </c>
      <c r="F11" s="123" t="s">
        <v>151</v>
      </c>
      <c r="G11" s="142">
        <v>1550</v>
      </c>
      <c r="H11" s="142"/>
      <c r="I11" s="125">
        <f t="shared" ref="I11:I46" si="1">G11+H11</f>
        <v>1550</v>
      </c>
      <c r="J11" s="126"/>
      <c r="K11" s="126"/>
      <c r="L11" s="126">
        <f t="shared" ref="L11:L45" si="2">H11-J11-K11</f>
        <v>0</v>
      </c>
      <c r="M11" s="143"/>
      <c r="N11" s="126">
        <v>6</v>
      </c>
      <c r="O11" s="126">
        <v>37</v>
      </c>
      <c r="P11" s="126">
        <v>1</v>
      </c>
      <c r="Q11" s="126">
        <v>1505</v>
      </c>
      <c r="R11" s="128">
        <v>1</v>
      </c>
      <c r="S11" s="134" t="s">
        <v>152</v>
      </c>
      <c r="T11" s="144"/>
      <c r="U11" s="145">
        <v>29412</v>
      </c>
    </row>
    <row r="12" spans="1:77" s="132" customFormat="1" ht="15.75" hidden="1" customHeight="1" outlineLevel="1" x14ac:dyDescent="0.25">
      <c r="A12" s="133"/>
      <c r="B12" s="146" t="s">
        <v>153</v>
      </c>
      <c r="C12" s="146" t="s">
        <v>154</v>
      </c>
      <c r="D12" s="123" t="s">
        <v>155</v>
      </c>
      <c r="E12" s="123"/>
      <c r="F12" s="123"/>
      <c r="G12" s="142">
        <v>3</v>
      </c>
      <c r="H12" s="142"/>
      <c r="I12" s="125"/>
      <c r="J12" s="126"/>
      <c r="K12" s="126"/>
      <c r="L12" s="126"/>
      <c r="M12" s="143"/>
      <c r="N12" s="126"/>
      <c r="O12" s="126"/>
      <c r="P12" s="126"/>
      <c r="Q12" s="126">
        <v>3</v>
      </c>
      <c r="R12" s="128">
        <f t="shared" si="0"/>
        <v>0</v>
      </c>
      <c r="S12" s="134"/>
      <c r="T12" s="147"/>
      <c r="U12" s="145"/>
    </row>
    <row r="13" spans="1:77" s="151" customFormat="1" ht="15.75" hidden="1" customHeight="1" outlineLevel="1" x14ac:dyDescent="0.25">
      <c r="A13" s="133"/>
      <c r="B13" s="148"/>
      <c r="C13" s="148"/>
      <c r="D13" s="149" t="s">
        <v>146</v>
      </c>
      <c r="E13" s="123" t="s">
        <v>150</v>
      </c>
      <c r="F13" s="149" t="s">
        <v>156</v>
      </c>
      <c r="G13" s="142">
        <f>1950+250</f>
        <v>2200</v>
      </c>
      <c r="H13" s="142"/>
      <c r="I13" s="125">
        <f t="shared" si="1"/>
        <v>2200</v>
      </c>
      <c r="J13" s="126"/>
      <c r="K13" s="126"/>
      <c r="L13" s="126">
        <f t="shared" si="2"/>
        <v>0</v>
      </c>
      <c r="M13" s="143"/>
      <c r="N13" s="126">
        <v>4</v>
      </c>
      <c r="O13" s="126">
        <v>44</v>
      </c>
      <c r="P13" s="126"/>
      <c r="Q13" s="126">
        <f>2147+5</f>
        <v>2152</v>
      </c>
      <c r="R13" s="128">
        <f t="shared" si="0"/>
        <v>0</v>
      </c>
      <c r="S13" s="134"/>
      <c r="T13" s="150"/>
    </row>
    <row r="14" spans="1:77" s="132" customFormat="1" ht="15" hidden="1" customHeight="1" outlineLevel="1" x14ac:dyDescent="0.25">
      <c r="A14" s="133"/>
      <c r="B14" s="148"/>
      <c r="C14" s="148"/>
      <c r="D14" s="149" t="s">
        <v>17</v>
      </c>
      <c r="E14" s="149" t="s">
        <v>150</v>
      </c>
      <c r="F14" s="149" t="s">
        <v>157</v>
      </c>
      <c r="G14" s="142">
        <f>225</f>
        <v>225</v>
      </c>
      <c r="H14" s="142"/>
      <c r="I14" s="125">
        <f t="shared" si="1"/>
        <v>225</v>
      </c>
      <c r="J14" s="126"/>
      <c r="K14" s="126"/>
      <c r="L14" s="126">
        <f t="shared" si="2"/>
        <v>0</v>
      </c>
      <c r="M14" s="143"/>
      <c r="N14" s="126"/>
      <c r="O14" s="126"/>
      <c r="P14" s="126"/>
      <c r="Q14" s="126">
        <v>225</v>
      </c>
      <c r="R14" s="128">
        <f t="shared" si="0"/>
        <v>0</v>
      </c>
      <c r="S14" s="134"/>
      <c r="T14" s="152"/>
      <c r="U14" s="131" t="s">
        <v>158</v>
      </c>
    </row>
    <row r="15" spans="1:77" s="132" customFormat="1" ht="15.75" hidden="1" customHeight="1" outlineLevel="1" x14ac:dyDescent="0.25">
      <c r="A15" s="133"/>
      <c r="B15" s="153"/>
      <c r="C15" s="153"/>
      <c r="D15" s="149" t="s">
        <v>41</v>
      </c>
      <c r="E15" s="149" t="s">
        <v>150</v>
      </c>
      <c r="F15" s="149" t="s">
        <v>157</v>
      </c>
      <c r="G15" s="142">
        <f>500+105+100</f>
        <v>705</v>
      </c>
      <c r="H15" s="142"/>
      <c r="I15" s="125">
        <f t="shared" si="1"/>
        <v>705</v>
      </c>
      <c r="J15" s="126"/>
      <c r="K15" s="126"/>
      <c r="L15" s="126">
        <f t="shared" si="2"/>
        <v>0</v>
      </c>
      <c r="M15" s="143"/>
      <c r="N15" s="126"/>
      <c r="O15" s="126"/>
      <c r="P15" s="126"/>
      <c r="Q15" s="126">
        <v>705</v>
      </c>
      <c r="R15" s="128">
        <f t="shared" si="0"/>
        <v>0</v>
      </c>
      <c r="S15" s="134"/>
      <c r="T15" s="152"/>
    </row>
    <row r="16" spans="1:77" s="132" customFormat="1" ht="15.75" hidden="1" customHeight="1" outlineLevel="1" x14ac:dyDescent="0.25">
      <c r="A16" s="133"/>
      <c r="B16" s="149" t="s">
        <v>159</v>
      </c>
      <c r="C16" s="149" t="s">
        <v>160</v>
      </c>
      <c r="D16" s="149" t="s">
        <v>130</v>
      </c>
      <c r="E16" s="149" t="s">
        <v>161</v>
      </c>
      <c r="F16" s="149" t="s">
        <v>162</v>
      </c>
      <c r="G16" s="142">
        <v>1000</v>
      </c>
      <c r="H16" s="142"/>
      <c r="I16" s="125"/>
      <c r="J16" s="126"/>
      <c r="K16" s="126"/>
      <c r="L16" s="126">
        <v>0</v>
      </c>
      <c r="M16" s="143"/>
      <c r="N16" s="126"/>
      <c r="O16" s="126"/>
      <c r="P16" s="126"/>
      <c r="Q16" s="126">
        <v>1000</v>
      </c>
      <c r="R16" s="128">
        <f t="shared" si="0"/>
        <v>0</v>
      </c>
      <c r="S16" s="134"/>
      <c r="T16" s="152"/>
    </row>
    <row r="17" spans="1:21" s="132" customFormat="1" ht="15.75" collapsed="1" thickBot="1" x14ac:dyDescent="0.3">
      <c r="A17" s="133"/>
      <c r="B17" s="149" t="s">
        <v>163</v>
      </c>
      <c r="C17" s="149" t="s">
        <v>164</v>
      </c>
      <c r="D17" s="149" t="s">
        <v>165</v>
      </c>
      <c r="E17" s="149" t="s">
        <v>166</v>
      </c>
      <c r="F17" s="149" t="s">
        <v>167</v>
      </c>
      <c r="G17" s="142">
        <f>300+200</f>
        <v>500</v>
      </c>
      <c r="H17" s="142"/>
      <c r="I17" s="125"/>
      <c r="J17" s="126"/>
      <c r="K17" s="126"/>
      <c r="L17" s="126"/>
      <c r="M17" s="143"/>
      <c r="N17" s="126"/>
      <c r="O17" s="126"/>
      <c r="P17" s="126"/>
      <c r="Q17" s="126">
        <v>500</v>
      </c>
      <c r="R17" s="128">
        <f t="shared" si="0"/>
        <v>0</v>
      </c>
      <c r="S17" s="134" t="s">
        <v>168</v>
      </c>
      <c r="T17" s="152"/>
    </row>
    <row r="18" spans="1:21" s="132" customFormat="1" ht="15.75" thickBot="1" x14ac:dyDescent="0.3">
      <c r="A18" s="140"/>
      <c r="B18" s="149" t="s">
        <v>169</v>
      </c>
      <c r="C18" s="149" t="s">
        <v>170</v>
      </c>
      <c r="D18" s="149" t="s">
        <v>171</v>
      </c>
      <c r="E18" s="149"/>
      <c r="F18" s="149"/>
      <c r="G18" s="142">
        <v>100</v>
      </c>
      <c r="H18" s="142"/>
      <c r="I18" s="125">
        <v>100</v>
      </c>
      <c r="J18" s="126"/>
      <c r="K18" s="126"/>
      <c r="L18" s="126">
        <v>0</v>
      </c>
      <c r="M18" s="143"/>
      <c r="N18" s="126"/>
      <c r="O18" s="126"/>
      <c r="P18" s="126"/>
      <c r="Q18" s="126">
        <v>100</v>
      </c>
      <c r="R18" s="128">
        <f>G18-M18-N18-O18-P18-Q18</f>
        <v>0</v>
      </c>
      <c r="S18" s="134"/>
      <c r="T18" s="152"/>
    </row>
    <row r="19" spans="1:21" s="132" customFormat="1" ht="45.75" thickBot="1" x14ac:dyDescent="0.3">
      <c r="A19" s="121" t="s">
        <v>172</v>
      </c>
      <c r="B19" s="154" t="s">
        <v>173</v>
      </c>
      <c r="C19" s="155" t="s">
        <v>174</v>
      </c>
      <c r="D19" s="149" t="s">
        <v>146</v>
      </c>
      <c r="E19" s="149" t="s">
        <v>175</v>
      </c>
      <c r="F19" s="149" t="s">
        <v>176</v>
      </c>
      <c r="G19" s="142">
        <v>200</v>
      </c>
      <c r="H19" s="142"/>
      <c r="I19" s="125">
        <f t="shared" si="1"/>
        <v>200</v>
      </c>
      <c r="J19" s="126"/>
      <c r="K19" s="126"/>
      <c r="L19" s="126">
        <f t="shared" si="2"/>
        <v>0</v>
      </c>
      <c r="M19" s="143"/>
      <c r="N19" s="126"/>
      <c r="O19" s="126"/>
      <c r="P19" s="126"/>
      <c r="Q19" s="126">
        <v>199</v>
      </c>
      <c r="R19" s="128">
        <f t="shared" ref="R19:R46" si="3">G19-M19-N19-O19-P19-Q19</f>
        <v>1</v>
      </c>
      <c r="S19" s="156" t="s">
        <v>177</v>
      </c>
      <c r="T19" s="157"/>
      <c r="U19" s="131" t="s">
        <v>178</v>
      </c>
    </row>
    <row r="20" spans="1:21" s="132" customFormat="1" ht="15.75" thickBot="1" x14ac:dyDescent="0.3">
      <c r="A20" s="133"/>
      <c r="B20" s="158" t="s">
        <v>179</v>
      </c>
      <c r="C20" s="158" t="s">
        <v>180</v>
      </c>
      <c r="D20" s="159" t="s">
        <v>171</v>
      </c>
      <c r="E20" s="149"/>
      <c r="F20" s="158" t="s">
        <v>156</v>
      </c>
      <c r="G20" s="142">
        <v>400</v>
      </c>
      <c r="H20" s="142">
        <v>100</v>
      </c>
      <c r="I20" s="125">
        <f t="shared" si="1"/>
        <v>500</v>
      </c>
      <c r="J20" s="126"/>
      <c r="K20" s="126">
        <f>95+5</f>
        <v>100</v>
      </c>
      <c r="L20" s="126">
        <f t="shared" si="2"/>
        <v>0</v>
      </c>
      <c r="M20" s="143">
        <v>167</v>
      </c>
      <c r="N20" s="126"/>
      <c r="O20" s="126">
        <v>1</v>
      </c>
      <c r="P20" s="126"/>
      <c r="Q20" s="126">
        <v>232</v>
      </c>
      <c r="R20" s="128">
        <f>G20-M20-N20-O20-P20-Q20</f>
        <v>0</v>
      </c>
      <c r="S20" s="160" t="s">
        <v>181</v>
      </c>
      <c r="T20" s="144"/>
    </row>
    <row r="21" spans="1:21" s="165" customFormat="1" ht="135.75" thickBot="1" x14ac:dyDescent="0.3">
      <c r="A21" s="133"/>
      <c r="B21" s="161"/>
      <c r="C21" s="161"/>
      <c r="D21" s="159" t="s">
        <v>146</v>
      </c>
      <c r="E21" s="149" t="s">
        <v>150</v>
      </c>
      <c r="F21" s="161"/>
      <c r="G21" s="142">
        <v>450</v>
      </c>
      <c r="H21" s="142">
        <v>500</v>
      </c>
      <c r="I21" s="125">
        <f t="shared" si="1"/>
        <v>950</v>
      </c>
      <c r="J21" s="126">
        <v>32</v>
      </c>
      <c r="K21" s="126">
        <v>463</v>
      </c>
      <c r="L21" s="126">
        <v>5</v>
      </c>
      <c r="M21" s="143"/>
      <c r="N21" s="126">
        <v>18</v>
      </c>
      <c r="O21" s="126">
        <v>131</v>
      </c>
      <c r="P21" s="126"/>
      <c r="Q21" s="126">
        <v>301</v>
      </c>
      <c r="R21" s="128">
        <v>0</v>
      </c>
      <c r="S21" s="162"/>
      <c r="T21" s="163" t="s">
        <v>182</v>
      </c>
      <c r="U21" s="164">
        <v>58824</v>
      </c>
    </row>
    <row r="22" spans="1:21" s="132" customFormat="1" ht="30.75" thickBot="1" x14ac:dyDescent="0.3">
      <c r="A22" s="133"/>
      <c r="B22" s="166"/>
      <c r="C22" s="166"/>
      <c r="D22" s="159" t="s">
        <v>183</v>
      </c>
      <c r="E22" s="149"/>
      <c r="F22" s="166"/>
      <c r="G22" s="142">
        <v>1</v>
      </c>
      <c r="H22" s="142"/>
      <c r="I22" s="125">
        <f t="shared" si="1"/>
        <v>1</v>
      </c>
      <c r="J22" s="126"/>
      <c r="K22" s="126"/>
      <c r="L22" s="126">
        <f t="shared" si="2"/>
        <v>0</v>
      </c>
      <c r="M22" s="143"/>
      <c r="N22" s="126"/>
      <c r="O22" s="126"/>
      <c r="P22" s="126"/>
      <c r="Q22" s="126">
        <v>1</v>
      </c>
      <c r="R22" s="128">
        <f t="shared" si="3"/>
        <v>0</v>
      </c>
      <c r="S22" s="167"/>
      <c r="T22" s="168" t="s">
        <v>184</v>
      </c>
    </row>
    <row r="23" spans="1:21" s="87" customFormat="1" ht="15.75" thickBot="1" x14ac:dyDescent="0.3">
      <c r="A23" s="133"/>
      <c r="B23" s="169" t="s">
        <v>185</v>
      </c>
      <c r="C23" s="170" t="s">
        <v>186</v>
      </c>
      <c r="D23" s="149" t="s">
        <v>171</v>
      </c>
      <c r="E23" s="149"/>
      <c r="F23" s="149"/>
      <c r="G23" s="142">
        <v>100</v>
      </c>
      <c r="H23" s="142"/>
      <c r="I23" s="125">
        <f t="shared" si="1"/>
        <v>100</v>
      </c>
      <c r="J23" s="126"/>
      <c r="K23" s="126"/>
      <c r="L23" s="126">
        <f t="shared" si="2"/>
        <v>0</v>
      </c>
      <c r="M23" s="143">
        <v>85</v>
      </c>
      <c r="N23" s="126"/>
      <c r="O23" s="126"/>
      <c r="P23" s="126"/>
      <c r="Q23" s="126">
        <v>15</v>
      </c>
      <c r="R23" s="128">
        <f t="shared" si="3"/>
        <v>0</v>
      </c>
      <c r="S23" s="134"/>
      <c r="T23" s="171"/>
    </row>
    <row r="24" spans="1:21" s="132" customFormat="1" ht="75.75" thickBot="1" x14ac:dyDescent="0.3">
      <c r="A24" s="133"/>
      <c r="B24" s="172" t="s">
        <v>187</v>
      </c>
      <c r="C24" s="149" t="s">
        <v>188</v>
      </c>
      <c r="D24" s="149" t="s">
        <v>146</v>
      </c>
      <c r="E24" s="149" t="s">
        <v>150</v>
      </c>
      <c r="F24" s="149" t="s">
        <v>189</v>
      </c>
      <c r="G24" s="173">
        <f>200+139</f>
        <v>339</v>
      </c>
      <c r="H24" s="173"/>
      <c r="I24" s="174">
        <f t="shared" si="1"/>
        <v>339</v>
      </c>
      <c r="J24" s="175"/>
      <c r="K24" s="175"/>
      <c r="L24" s="175">
        <f>H24-J24-K24</f>
        <v>0</v>
      </c>
      <c r="M24" s="143"/>
      <c r="N24" s="126"/>
      <c r="O24" s="126"/>
      <c r="P24" s="126"/>
      <c r="Q24" s="126">
        <v>339</v>
      </c>
      <c r="R24" s="128">
        <f>G24-M24-N24-O24-P24-Q24</f>
        <v>0</v>
      </c>
      <c r="S24" s="134" t="s">
        <v>190</v>
      </c>
      <c r="T24" s="176"/>
      <c r="U24" s="131" t="s">
        <v>127</v>
      </c>
    </row>
    <row r="25" spans="1:21" s="132" customFormat="1" ht="90.75" thickBot="1" x14ac:dyDescent="0.3">
      <c r="A25" s="140"/>
      <c r="B25" s="141" t="s">
        <v>191</v>
      </c>
      <c r="C25" s="149" t="s">
        <v>192</v>
      </c>
      <c r="D25" s="177" t="s">
        <v>171</v>
      </c>
      <c r="E25" s="178"/>
      <c r="F25" s="179"/>
      <c r="G25" s="180">
        <v>128</v>
      </c>
      <c r="H25" s="180"/>
      <c r="I25" s="181"/>
      <c r="J25" s="182"/>
      <c r="K25" s="182"/>
      <c r="L25" s="182">
        <v>0</v>
      </c>
      <c r="M25" s="183"/>
      <c r="N25" s="126"/>
      <c r="O25" s="126"/>
      <c r="P25" s="184"/>
      <c r="Q25" s="185">
        <v>128</v>
      </c>
      <c r="R25" s="186">
        <f>G25-M25-N25-O25-P25-Q25</f>
        <v>0</v>
      </c>
      <c r="S25" s="134" t="s">
        <v>193</v>
      </c>
      <c r="T25" s="176"/>
      <c r="U25" s="131"/>
    </row>
    <row r="26" spans="1:21" s="132" customFormat="1" ht="90.75" thickBot="1" x14ac:dyDescent="0.3">
      <c r="A26" s="121" t="s">
        <v>194</v>
      </c>
      <c r="B26" s="141" t="s">
        <v>195</v>
      </c>
      <c r="C26" s="123" t="s">
        <v>196</v>
      </c>
      <c r="D26" s="177" t="s">
        <v>146</v>
      </c>
      <c r="E26" s="178" t="s">
        <v>175</v>
      </c>
      <c r="F26" s="179" t="s">
        <v>176</v>
      </c>
      <c r="G26" s="187">
        <v>280</v>
      </c>
      <c r="H26" s="188"/>
      <c r="I26" s="189">
        <f t="shared" si="1"/>
        <v>280</v>
      </c>
      <c r="J26" s="190"/>
      <c r="K26" s="191"/>
      <c r="L26" s="182">
        <f t="shared" si="2"/>
        <v>0</v>
      </c>
      <c r="M26" s="192"/>
      <c r="N26" s="190"/>
      <c r="O26" s="190"/>
      <c r="P26" s="191"/>
      <c r="Q26" s="185">
        <v>277</v>
      </c>
      <c r="R26" s="186">
        <f>G26-M26-N26-O26-P26-Q26</f>
        <v>3</v>
      </c>
      <c r="S26" s="134" t="s">
        <v>197</v>
      </c>
      <c r="T26" s="193"/>
      <c r="U26" s="145">
        <v>2352941</v>
      </c>
    </row>
    <row r="27" spans="1:21" s="132" customFormat="1" ht="15.75" thickBot="1" x14ac:dyDescent="0.3">
      <c r="A27" s="133"/>
      <c r="B27" s="194" t="s">
        <v>195</v>
      </c>
      <c r="C27" s="195" t="s">
        <v>198</v>
      </c>
      <c r="D27" s="177" t="s">
        <v>199</v>
      </c>
      <c r="E27" s="178"/>
      <c r="F27" s="179" t="s">
        <v>200</v>
      </c>
      <c r="G27" s="187">
        <f>6+1</f>
        <v>7</v>
      </c>
      <c r="H27" s="188"/>
      <c r="I27" s="196">
        <f t="shared" si="1"/>
        <v>7</v>
      </c>
      <c r="J27" s="190"/>
      <c r="K27" s="191"/>
      <c r="L27" s="191">
        <f t="shared" si="2"/>
        <v>0</v>
      </c>
      <c r="M27" s="192"/>
      <c r="N27" s="190"/>
      <c r="O27" s="190"/>
      <c r="P27" s="191"/>
      <c r="Q27" s="185">
        <v>7</v>
      </c>
      <c r="R27" s="128">
        <f t="shared" si="3"/>
        <v>0</v>
      </c>
      <c r="S27" s="197"/>
      <c r="T27" s="198"/>
    </row>
    <row r="28" spans="1:21" s="132" customFormat="1" ht="15.75" thickBot="1" x14ac:dyDescent="0.3">
      <c r="A28" s="133"/>
      <c r="B28" s="199" t="s">
        <v>201</v>
      </c>
      <c r="C28" s="149" t="s">
        <v>202</v>
      </c>
      <c r="D28" s="159" t="s">
        <v>171</v>
      </c>
      <c r="E28" s="200"/>
      <c r="F28" s="201" t="s">
        <v>156</v>
      </c>
      <c r="G28" s="202">
        <v>100</v>
      </c>
      <c r="H28" s="203"/>
      <c r="I28" s="196">
        <f t="shared" si="1"/>
        <v>100</v>
      </c>
      <c r="J28" s="204"/>
      <c r="K28" s="205"/>
      <c r="L28" s="205">
        <f t="shared" si="2"/>
        <v>0</v>
      </c>
      <c r="M28" s="206">
        <v>32</v>
      </c>
      <c r="N28" s="204">
        <v>1</v>
      </c>
      <c r="O28" s="204"/>
      <c r="P28" s="205"/>
      <c r="Q28" s="126">
        <v>67</v>
      </c>
      <c r="R28" s="128">
        <f t="shared" si="3"/>
        <v>0</v>
      </c>
      <c r="S28" s="207"/>
      <c r="T28" s="208"/>
    </row>
    <row r="29" spans="1:21" s="132" customFormat="1" ht="45.75" thickBot="1" x14ac:dyDescent="0.3">
      <c r="A29" s="133"/>
      <c r="B29" s="141" t="s">
        <v>201</v>
      </c>
      <c r="C29" s="170" t="s">
        <v>203</v>
      </c>
      <c r="D29" s="177" t="s">
        <v>146</v>
      </c>
      <c r="E29" s="178" t="s">
        <v>150</v>
      </c>
      <c r="F29" s="179"/>
      <c r="G29" s="187">
        <v>50</v>
      </c>
      <c r="H29" s="188"/>
      <c r="I29" s="196">
        <f t="shared" si="1"/>
        <v>50</v>
      </c>
      <c r="J29" s="190"/>
      <c r="K29" s="191"/>
      <c r="L29" s="205">
        <f t="shared" si="2"/>
        <v>0</v>
      </c>
      <c r="M29" s="192"/>
      <c r="N29" s="190"/>
      <c r="O29" s="190"/>
      <c r="P29" s="191"/>
      <c r="Q29" s="185">
        <v>49</v>
      </c>
      <c r="R29" s="128">
        <f t="shared" si="3"/>
        <v>1</v>
      </c>
      <c r="S29" s="209" t="s">
        <v>204</v>
      </c>
      <c r="T29" s="210"/>
      <c r="U29" s="131" t="s">
        <v>205</v>
      </c>
    </row>
    <row r="30" spans="1:21" s="132" customFormat="1" ht="225.75" thickBot="1" x14ac:dyDescent="0.3">
      <c r="A30" s="140"/>
      <c r="B30" s="141" t="s">
        <v>206</v>
      </c>
      <c r="C30" s="211" t="s">
        <v>207</v>
      </c>
      <c r="D30" s="123" t="s">
        <v>130</v>
      </c>
      <c r="E30" s="178" t="s">
        <v>150</v>
      </c>
      <c r="F30" s="212" t="s">
        <v>208</v>
      </c>
      <c r="G30" s="202">
        <v>814</v>
      </c>
      <c r="H30" s="203"/>
      <c r="I30" s="196">
        <f t="shared" si="1"/>
        <v>814</v>
      </c>
      <c r="J30" s="204"/>
      <c r="K30" s="205"/>
      <c r="L30" s="205">
        <f t="shared" si="2"/>
        <v>0</v>
      </c>
      <c r="M30" s="206"/>
      <c r="N30" s="204"/>
      <c r="O30" s="213" t="s">
        <v>209</v>
      </c>
      <c r="P30" s="205"/>
      <c r="Q30" s="126">
        <v>752</v>
      </c>
      <c r="R30" s="128">
        <f>G30-M30-N30-P30-Q30</f>
        <v>62</v>
      </c>
      <c r="S30" s="214" t="s">
        <v>210</v>
      </c>
      <c r="T30" s="215"/>
      <c r="U30" s="145">
        <v>2352941</v>
      </c>
    </row>
    <row r="31" spans="1:21" s="132" customFormat="1" ht="15.75" thickBot="1" x14ac:dyDescent="0.3">
      <c r="A31" s="216">
        <v>245</v>
      </c>
      <c r="B31" s="217" t="s">
        <v>211</v>
      </c>
      <c r="C31" s="218" t="s">
        <v>212</v>
      </c>
      <c r="D31" s="218" t="s">
        <v>146</v>
      </c>
      <c r="E31" s="219"/>
      <c r="F31" s="220" t="s">
        <v>200</v>
      </c>
      <c r="G31" s="221">
        <v>2</v>
      </c>
      <c r="H31" s="222"/>
      <c r="I31" s="196">
        <f t="shared" si="1"/>
        <v>2</v>
      </c>
      <c r="J31" s="223"/>
      <c r="K31" s="224"/>
      <c r="L31" s="205">
        <f t="shared" si="2"/>
        <v>0</v>
      </c>
      <c r="M31" s="225"/>
      <c r="N31" s="223"/>
      <c r="O31" s="223"/>
      <c r="P31" s="224"/>
      <c r="Q31" s="226">
        <v>2</v>
      </c>
      <c r="R31" s="128">
        <f t="shared" si="3"/>
        <v>0</v>
      </c>
      <c r="S31" s="227"/>
      <c r="T31" s="228"/>
    </row>
    <row r="32" spans="1:21" s="132" customFormat="1" ht="15.75" thickBot="1" x14ac:dyDescent="0.3">
      <c r="A32" s="229"/>
      <c r="B32" s="141" t="s">
        <v>213</v>
      </c>
      <c r="C32" s="123" t="s">
        <v>214</v>
      </c>
      <c r="D32" s="149" t="s">
        <v>171</v>
      </c>
      <c r="E32" s="178" t="s">
        <v>150</v>
      </c>
      <c r="F32" s="230" t="s">
        <v>215</v>
      </c>
      <c r="G32" s="202">
        <v>500</v>
      </c>
      <c r="H32" s="203"/>
      <c r="I32" s="196">
        <f t="shared" si="1"/>
        <v>500</v>
      </c>
      <c r="J32" s="204"/>
      <c r="K32" s="205"/>
      <c r="L32" s="205">
        <f t="shared" si="2"/>
        <v>0</v>
      </c>
      <c r="M32" s="206"/>
      <c r="N32" s="204"/>
      <c r="O32" s="204"/>
      <c r="P32" s="205"/>
      <c r="Q32" s="126">
        <v>500</v>
      </c>
      <c r="R32" s="128">
        <f t="shared" si="3"/>
        <v>0</v>
      </c>
      <c r="S32" s="214"/>
      <c r="T32" s="193"/>
    </row>
    <row r="33" spans="1:21" s="132" customFormat="1" ht="15.75" thickBot="1" x14ac:dyDescent="0.3">
      <c r="A33" s="229"/>
      <c r="B33" s="217" t="s">
        <v>216</v>
      </c>
      <c r="C33" s="231" t="s">
        <v>217</v>
      </c>
      <c r="D33" s="218" t="s">
        <v>171</v>
      </c>
      <c r="E33" s="219"/>
      <c r="F33" s="220" t="s">
        <v>215</v>
      </c>
      <c r="G33" s="221">
        <v>501</v>
      </c>
      <c r="H33" s="222"/>
      <c r="I33" s="196">
        <f t="shared" si="1"/>
        <v>501</v>
      </c>
      <c r="J33" s="223"/>
      <c r="K33" s="224"/>
      <c r="L33" s="205">
        <f t="shared" si="2"/>
        <v>0</v>
      </c>
      <c r="M33" s="225">
        <v>201</v>
      </c>
      <c r="N33" s="223">
        <v>6</v>
      </c>
      <c r="O33" s="223"/>
      <c r="P33" s="224"/>
      <c r="Q33" s="226">
        <v>294</v>
      </c>
      <c r="R33" s="128">
        <f t="shared" si="3"/>
        <v>0</v>
      </c>
      <c r="S33" s="227"/>
      <c r="T33" s="232"/>
    </row>
    <row r="34" spans="1:21" s="132" customFormat="1" ht="15.75" thickBot="1" x14ac:dyDescent="0.3">
      <c r="A34" s="233"/>
      <c r="B34" s="141" t="s">
        <v>218</v>
      </c>
      <c r="C34" s="123" t="s">
        <v>219</v>
      </c>
      <c r="D34" s="149" t="s">
        <v>220</v>
      </c>
      <c r="E34" s="178" t="s">
        <v>150</v>
      </c>
      <c r="F34" s="230" t="s">
        <v>189</v>
      </c>
      <c r="G34" s="202">
        <v>200</v>
      </c>
      <c r="H34" s="203"/>
      <c r="I34" s="196">
        <f t="shared" si="1"/>
        <v>200</v>
      </c>
      <c r="J34" s="204"/>
      <c r="K34" s="205"/>
      <c r="L34" s="205">
        <f t="shared" si="2"/>
        <v>0</v>
      </c>
      <c r="M34" s="206"/>
      <c r="N34" s="204"/>
      <c r="O34" s="204"/>
      <c r="P34" s="205"/>
      <c r="Q34" s="126">
        <f>192+4+3+1</f>
        <v>200</v>
      </c>
      <c r="R34" s="128">
        <f>G34-M34-N34-O34-P34-Q34</f>
        <v>0</v>
      </c>
      <c r="S34" s="214"/>
      <c r="T34" s="234"/>
      <c r="U34" s="145">
        <v>58824</v>
      </c>
    </row>
    <row r="35" spans="1:21" s="132" customFormat="1" ht="15.75" thickBot="1" x14ac:dyDescent="0.3">
      <c r="A35" s="235" t="s">
        <v>221</v>
      </c>
      <c r="B35" s="141" t="s">
        <v>222</v>
      </c>
      <c r="C35" s="123" t="s">
        <v>223</v>
      </c>
      <c r="D35" s="123" t="s">
        <v>130</v>
      </c>
      <c r="E35" s="236" t="s">
        <v>150</v>
      </c>
      <c r="F35" s="212" t="s">
        <v>224</v>
      </c>
      <c r="G35" s="202">
        <f>245+65</f>
        <v>310</v>
      </c>
      <c r="H35" s="203"/>
      <c r="I35" s="196">
        <f t="shared" si="1"/>
        <v>310</v>
      </c>
      <c r="J35" s="204"/>
      <c r="K35" s="205"/>
      <c r="L35" s="205">
        <f t="shared" si="2"/>
        <v>0</v>
      </c>
      <c r="M35" s="206"/>
      <c r="N35" s="204"/>
      <c r="O35" s="204"/>
      <c r="P35" s="205"/>
      <c r="Q35" s="126">
        <f>308+2</f>
        <v>310</v>
      </c>
      <c r="R35" s="128">
        <f t="shared" si="3"/>
        <v>0</v>
      </c>
      <c r="S35" s="237"/>
      <c r="T35" s="193"/>
    </row>
    <row r="36" spans="1:21" s="132" customFormat="1" ht="15.75" thickBot="1" x14ac:dyDescent="0.3">
      <c r="A36" s="238"/>
      <c r="B36" s="141" t="s">
        <v>225</v>
      </c>
      <c r="C36" s="211" t="s">
        <v>226</v>
      </c>
      <c r="D36" s="123" t="s">
        <v>130</v>
      </c>
      <c r="E36" s="236" t="s">
        <v>150</v>
      </c>
      <c r="F36" s="212" t="s">
        <v>227</v>
      </c>
      <c r="G36" s="202">
        <v>43</v>
      </c>
      <c r="H36" s="203"/>
      <c r="I36" s="196">
        <f t="shared" si="1"/>
        <v>43</v>
      </c>
      <c r="J36" s="204"/>
      <c r="K36" s="205"/>
      <c r="L36" s="205">
        <f t="shared" si="2"/>
        <v>0</v>
      </c>
      <c r="M36" s="206"/>
      <c r="N36" s="204"/>
      <c r="O36" s="204"/>
      <c r="P36" s="205"/>
      <c r="Q36" s="126">
        <v>43</v>
      </c>
      <c r="R36" s="128">
        <f t="shared" si="3"/>
        <v>0</v>
      </c>
      <c r="S36" s="214"/>
      <c r="T36" s="193"/>
    </row>
    <row r="37" spans="1:21" s="247" customFormat="1" ht="45.75" thickBot="1" x14ac:dyDescent="0.3">
      <c r="A37" s="238"/>
      <c r="B37" s="141" t="s">
        <v>228</v>
      </c>
      <c r="C37" s="123" t="s">
        <v>229</v>
      </c>
      <c r="D37" s="123" t="s">
        <v>130</v>
      </c>
      <c r="E37" s="236" t="s">
        <v>150</v>
      </c>
      <c r="F37" s="212" t="s">
        <v>230</v>
      </c>
      <c r="G37" s="239">
        <v>516</v>
      </c>
      <c r="H37" s="240"/>
      <c r="I37" s="241">
        <f t="shared" si="1"/>
        <v>516</v>
      </c>
      <c r="J37" s="242"/>
      <c r="K37" s="243"/>
      <c r="L37" s="243">
        <f t="shared" si="2"/>
        <v>0</v>
      </c>
      <c r="M37" s="206">
        <v>1</v>
      </c>
      <c r="N37" s="242"/>
      <c r="O37" s="242"/>
      <c r="P37" s="243"/>
      <c r="Q37" s="126">
        <f>507+8</f>
        <v>515</v>
      </c>
      <c r="R37" s="128">
        <f t="shared" si="3"/>
        <v>0</v>
      </c>
      <c r="S37" s="244" t="s">
        <v>231</v>
      </c>
      <c r="T37" s="245" t="s">
        <v>232</v>
      </c>
      <c r="U37" s="246">
        <v>117647</v>
      </c>
    </row>
    <row r="38" spans="1:21" s="132" customFormat="1" ht="15.75" thickBot="1" x14ac:dyDescent="0.3">
      <c r="A38" s="238"/>
      <c r="B38" s="141" t="s">
        <v>233</v>
      </c>
      <c r="C38" s="123" t="s">
        <v>234</v>
      </c>
      <c r="D38" s="123" t="s">
        <v>130</v>
      </c>
      <c r="E38" s="178" t="s">
        <v>150</v>
      </c>
      <c r="F38" s="212" t="s">
        <v>235</v>
      </c>
      <c r="G38" s="202">
        <f>25+80+65</f>
        <v>170</v>
      </c>
      <c r="H38" s="203"/>
      <c r="I38" s="196">
        <f t="shared" si="1"/>
        <v>170</v>
      </c>
      <c r="J38" s="204"/>
      <c r="K38" s="205"/>
      <c r="L38" s="243">
        <f t="shared" si="2"/>
        <v>0</v>
      </c>
      <c r="M38" s="206"/>
      <c r="N38" s="204"/>
      <c r="O38" s="204"/>
      <c r="P38" s="205"/>
      <c r="Q38" s="126">
        <v>170</v>
      </c>
      <c r="R38" s="128">
        <f t="shared" si="3"/>
        <v>0</v>
      </c>
      <c r="S38" s="237"/>
      <c r="T38" s="248"/>
      <c r="U38" s="145">
        <v>117647</v>
      </c>
    </row>
    <row r="39" spans="1:21" s="132" customFormat="1" ht="15.75" thickBot="1" x14ac:dyDescent="0.3">
      <c r="A39" s="238"/>
      <c r="B39" s="141" t="s">
        <v>236</v>
      </c>
      <c r="C39" s="123" t="s">
        <v>237</v>
      </c>
      <c r="D39" s="123" t="s">
        <v>130</v>
      </c>
      <c r="E39" s="178" t="s">
        <v>150</v>
      </c>
      <c r="F39" s="212" t="s">
        <v>235</v>
      </c>
      <c r="G39" s="202">
        <v>5</v>
      </c>
      <c r="H39" s="203"/>
      <c r="I39" s="196"/>
      <c r="J39" s="204"/>
      <c r="K39" s="205"/>
      <c r="L39" s="205"/>
      <c r="M39" s="206"/>
      <c r="N39" s="204"/>
      <c r="O39" s="204"/>
      <c r="P39" s="205"/>
      <c r="Q39" s="126">
        <v>5</v>
      </c>
      <c r="R39" s="128">
        <f t="shared" si="3"/>
        <v>0</v>
      </c>
      <c r="S39" s="237"/>
      <c r="T39" s="248"/>
      <c r="U39" s="145"/>
    </row>
    <row r="40" spans="1:21" s="132" customFormat="1" ht="15.75" thickBot="1" x14ac:dyDescent="0.3">
      <c r="A40" s="238"/>
      <c r="B40" s="249" t="s">
        <v>238</v>
      </c>
      <c r="C40" s="155" t="s">
        <v>239</v>
      </c>
      <c r="D40" s="155" t="s">
        <v>130</v>
      </c>
      <c r="E40" s="219" t="s">
        <v>150</v>
      </c>
      <c r="F40" s="250" t="s">
        <v>235</v>
      </c>
      <c r="G40" s="251">
        <v>50</v>
      </c>
      <c r="H40" s="252"/>
      <c r="I40" s="253"/>
      <c r="J40" s="254"/>
      <c r="K40" s="255"/>
      <c r="L40" s="255"/>
      <c r="M40" s="256"/>
      <c r="N40" s="254"/>
      <c r="O40" s="254"/>
      <c r="P40" s="255"/>
      <c r="Q40" s="175">
        <v>50</v>
      </c>
      <c r="R40" s="257">
        <f t="shared" si="3"/>
        <v>0</v>
      </c>
      <c r="S40" s="237"/>
      <c r="T40" s="248"/>
      <c r="U40" s="145"/>
    </row>
    <row r="41" spans="1:21" s="132" customFormat="1" ht="45.75" thickBot="1" x14ac:dyDescent="0.3">
      <c r="A41" s="121" t="s">
        <v>240</v>
      </c>
      <c r="B41" s="141" t="s">
        <v>241</v>
      </c>
      <c r="C41" s="123" t="s">
        <v>242</v>
      </c>
      <c r="D41" s="123" t="s">
        <v>165</v>
      </c>
      <c r="E41" s="123" t="s">
        <v>150</v>
      </c>
      <c r="F41" s="123" t="s">
        <v>243</v>
      </c>
      <c r="G41" s="142">
        <v>35</v>
      </c>
      <c r="H41" s="142"/>
      <c r="I41" s="125">
        <f t="shared" si="1"/>
        <v>35</v>
      </c>
      <c r="J41" s="126"/>
      <c r="K41" s="126"/>
      <c r="L41" s="126">
        <f t="shared" si="2"/>
        <v>0</v>
      </c>
      <c r="M41" s="143"/>
      <c r="N41" s="126"/>
      <c r="O41" s="126"/>
      <c r="P41" s="126"/>
      <c r="Q41" s="126">
        <v>35</v>
      </c>
      <c r="R41" s="128">
        <f>G41-M41-N41-O41-P41-Q41</f>
        <v>0</v>
      </c>
      <c r="S41" s="134" t="s">
        <v>244</v>
      </c>
      <c r="T41" s="258"/>
      <c r="U41" s="145">
        <v>176471</v>
      </c>
    </row>
    <row r="42" spans="1:21" s="132" customFormat="1" ht="45.75" thickBot="1" x14ac:dyDescent="0.3">
      <c r="A42" s="133"/>
      <c r="B42" s="141" t="s">
        <v>245</v>
      </c>
      <c r="C42" s="123" t="s">
        <v>246</v>
      </c>
      <c r="D42" s="123" t="s">
        <v>165</v>
      </c>
      <c r="E42" s="123" t="s">
        <v>150</v>
      </c>
      <c r="F42" s="123" t="s">
        <v>243</v>
      </c>
      <c r="G42" s="142">
        <v>32</v>
      </c>
      <c r="H42" s="142"/>
      <c r="I42" s="125">
        <f t="shared" si="1"/>
        <v>32</v>
      </c>
      <c r="J42" s="126"/>
      <c r="K42" s="126"/>
      <c r="L42" s="126">
        <f t="shared" si="2"/>
        <v>0</v>
      </c>
      <c r="M42" s="143"/>
      <c r="N42" s="126"/>
      <c r="O42" s="126"/>
      <c r="P42" s="126"/>
      <c r="Q42" s="126">
        <v>32</v>
      </c>
      <c r="R42" s="128">
        <f t="shared" si="3"/>
        <v>0</v>
      </c>
      <c r="S42" s="134" t="s">
        <v>247</v>
      </c>
      <c r="T42" s="258"/>
      <c r="U42" s="145">
        <v>176471</v>
      </c>
    </row>
    <row r="43" spans="1:21" s="132" customFormat="1" ht="105.75" thickBot="1" x14ac:dyDescent="0.3">
      <c r="A43" s="133"/>
      <c r="B43" s="141" t="s">
        <v>248</v>
      </c>
      <c r="C43" s="149" t="s">
        <v>249</v>
      </c>
      <c r="D43" s="149" t="s">
        <v>146</v>
      </c>
      <c r="E43" s="149" t="s">
        <v>175</v>
      </c>
      <c r="F43" s="149" t="s">
        <v>250</v>
      </c>
      <c r="G43" s="142">
        <f>68+7</f>
        <v>75</v>
      </c>
      <c r="H43" s="142"/>
      <c r="I43" s="125">
        <f t="shared" si="1"/>
        <v>75</v>
      </c>
      <c r="J43" s="126"/>
      <c r="K43" s="126"/>
      <c r="L43" s="126">
        <f t="shared" si="2"/>
        <v>0</v>
      </c>
      <c r="M43" s="143"/>
      <c r="N43" s="126"/>
      <c r="O43" s="126"/>
      <c r="P43" s="126"/>
      <c r="Q43" s="126">
        <v>33</v>
      </c>
      <c r="R43" s="128">
        <f t="shared" si="3"/>
        <v>42</v>
      </c>
      <c r="S43" s="134" t="s">
        <v>251</v>
      </c>
      <c r="T43" s="258"/>
      <c r="U43" s="145">
        <v>176471</v>
      </c>
    </row>
    <row r="44" spans="1:21" s="132" customFormat="1" ht="15.75" thickBot="1" x14ac:dyDescent="0.3">
      <c r="A44" s="133"/>
      <c r="B44" s="141" t="s">
        <v>252</v>
      </c>
      <c r="C44" s="149" t="s">
        <v>253</v>
      </c>
      <c r="D44" s="149" t="s">
        <v>146</v>
      </c>
      <c r="E44" s="149" t="s">
        <v>175</v>
      </c>
      <c r="F44" s="149" t="s">
        <v>250</v>
      </c>
      <c r="G44" s="142">
        <f>36+6</f>
        <v>42</v>
      </c>
      <c r="H44" s="142"/>
      <c r="I44" s="125">
        <f t="shared" si="1"/>
        <v>42</v>
      </c>
      <c r="J44" s="126"/>
      <c r="K44" s="126"/>
      <c r="L44" s="126">
        <f t="shared" si="2"/>
        <v>0</v>
      </c>
      <c r="M44" s="143"/>
      <c r="N44" s="126"/>
      <c r="O44" s="126"/>
      <c r="P44" s="126"/>
      <c r="Q44" s="126">
        <v>42</v>
      </c>
      <c r="R44" s="128">
        <f t="shared" si="3"/>
        <v>0</v>
      </c>
      <c r="S44" s="134"/>
      <c r="T44" s="258"/>
      <c r="U44" s="145">
        <v>176471</v>
      </c>
    </row>
    <row r="45" spans="1:21" s="132" customFormat="1" ht="45.75" thickBot="1" x14ac:dyDescent="0.3">
      <c r="A45" s="133"/>
      <c r="B45" s="141" t="s">
        <v>254</v>
      </c>
      <c r="C45" s="123" t="s">
        <v>255</v>
      </c>
      <c r="D45" s="123" t="s">
        <v>165</v>
      </c>
      <c r="E45" s="123" t="s">
        <v>256</v>
      </c>
      <c r="F45" s="123" t="s">
        <v>257</v>
      </c>
      <c r="G45" s="142">
        <v>10</v>
      </c>
      <c r="H45" s="142"/>
      <c r="I45" s="125">
        <f t="shared" si="1"/>
        <v>10</v>
      </c>
      <c r="J45" s="126"/>
      <c r="K45" s="126"/>
      <c r="L45" s="126">
        <f t="shared" si="2"/>
        <v>0</v>
      </c>
      <c r="M45" s="143"/>
      <c r="N45" s="126"/>
      <c r="O45" s="126"/>
      <c r="P45" s="126"/>
      <c r="Q45" s="126">
        <v>10</v>
      </c>
      <c r="R45" s="128">
        <f t="shared" si="3"/>
        <v>0</v>
      </c>
      <c r="S45" s="129" t="s">
        <v>258</v>
      </c>
      <c r="T45" s="259"/>
      <c r="U45" s="145">
        <v>176471</v>
      </c>
    </row>
    <row r="46" spans="1:21" s="132" customFormat="1" ht="75.75" thickBot="1" x14ac:dyDescent="0.3">
      <c r="A46" s="140"/>
      <c r="B46" s="141" t="s">
        <v>259</v>
      </c>
      <c r="C46" s="123" t="s">
        <v>260</v>
      </c>
      <c r="D46" s="123" t="s">
        <v>165</v>
      </c>
      <c r="E46" s="123" t="s">
        <v>261</v>
      </c>
      <c r="F46" s="123" t="s">
        <v>262</v>
      </c>
      <c r="G46" s="142">
        <f>225+13</f>
        <v>238</v>
      </c>
      <c r="H46" s="142"/>
      <c r="I46" s="125">
        <f t="shared" si="1"/>
        <v>238</v>
      </c>
      <c r="J46" s="126"/>
      <c r="K46" s="126"/>
      <c r="L46" s="126"/>
      <c r="M46" s="143"/>
      <c r="N46" s="126"/>
      <c r="O46" s="126"/>
      <c r="P46" s="126"/>
      <c r="Q46" s="126">
        <v>222</v>
      </c>
      <c r="R46" s="128">
        <f t="shared" si="3"/>
        <v>16</v>
      </c>
      <c r="S46" s="134" t="s">
        <v>263</v>
      </c>
      <c r="T46" s="260"/>
      <c r="U46" s="145"/>
    </row>
    <row r="47" spans="1:21" ht="15.75" thickBot="1" x14ac:dyDescent="0.3">
      <c r="A47" s="261" t="s">
        <v>264</v>
      </c>
      <c r="B47" s="262"/>
      <c r="C47" s="262"/>
      <c r="D47" s="263"/>
      <c r="E47" s="264"/>
      <c r="F47" s="264"/>
      <c r="G47" s="265">
        <f>SUM(G4:G46)</f>
        <v>12262</v>
      </c>
      <c r="H47" s="265">
        <f t="shared" ref="H47:P47" si="4">SUM(H4:H45)</f>
        <v>600</v>
      </c>
      <c r="I47" s="265">
        <f>SUM(I4:I46)</f>
        <v>11027</v>
      </c>
      <c r="J47" s="265">
        <f t="shared" si="4"/>
        <v>32</v>
      </c>
      <c r="K47" s="265">
        <f t="shared" si="4"/>
        <v>563</v>
      </c>
      <c r="L47" s="265">
        <f t="shared" si="4"/>
        <v>5</v>
      </c>
      <c r="M47" s="265">
        <f t="shared" si="4"/>
        <v>486</v>
      </c>
      <c r="N47" s="265">
        <f t="shared" si="4"/>
        <v>35</v>
      </c>
      <c r="O47" s="265">
        <f t="shared" si="4"/>
        <v>213</v>
      </c>
      <c r="P47" s="265">
        <f t="shared" si="4"/>
        <v>1</v>
      </c>
      <c r="Q47" s="265">
        <f>SUM(Q4:Q46)</f>
        <v>11385</v>
      </c>
      <c r="R47" s="265">
        <f>SUM(R4:R46)</f>
        <v>142</v>
      </c>
      <c r="S47" s="265"/>
      <c r="T47" s="266"/>
    </row>
    <row r="48" spans="1:21" x14ac:dyDescent="0.25">
      <c r="B48" s="86" t="s">
        <v>265</v>
      </c>
    </row>
    <row r="51" spans="1:19" x14ac:dyDescent="0.25">
      <c r="F51"/>
    </row>
    <row r="52" spans="1:19" x14ac:dyDescent="0.25">
      <c r="A52" s="3"/>
      <c r="B52" s="3"/>
      <c r="C52" s="268"/>
      <c r="D52" s="3"/>
      <c r="E52" s="3"/>
      <c r="F52" s="3"/>
      <c r="G52" s="3"/>
      <c r="H52" s="3"/>
      <c r="I52" s="3"/>
      <c r="J52" s="269"/>
    </row>
    <row r="53" spans="1:19" x14ac:dyDescent="0.25">
      <c r="A53" s="5"/>
      <c r="B53" s="5"/>
      <c r="C53" s="268"/>
      <c r="D53" s="5"/>
      <c r="E53" s="5"/>
      <c r="F53" s="5"/>
      <c r="G53" s="5"/>
      <c r="H53" s="5"/>
      <c r="I53" s="5"/>
      <c r="J53" s="269"/>
    </row>
    <row r="54" spans="1:19" x14ac:dyDescent="0.25">
      <c r="A54" s="5"/>
      <c r="B54" s="5"/>
      <c r="C54" s="268"/>
      <c r="D54" s="5"/>
      <c r="E54" s="5"/>
      <c r="F54" s="5"/>
      <c r="G54" s="5"/>
      <c r="H54" s="5"/>
      <c r="I54" s="5"/>
      <c r="J54" s="269"/>
    </row>
    <row r="55" spans="1:19" x14ac:dyDescent="0.25">
      <c r="A55" s="5"/>
      <c r="B55" s="5"/>
      <c r="C55" s="268"/>
      <c r="D55" s="5"/>
      <c r="E55" s="5"/>
      <c r="F55" s="5"/>
      <c r="G55" s="5"/>
      <c r="H55" s="5"/>
      <c r="I55" s="5"/>
      <c r="J55" s="269"/>
      <c r="S55" t="s">
        <v>266</v>
      </c>
    </row>
    <row r="56" spans="1:19" x14ac:dyDescent="0.25">
      <c r="A56" s="5"/>
      <c r="B56" s="5"/>
      <c r="C56" s="268"/>
      <c r="D56" s="5"/>
      <c r="E56" s="5"/>
      <c r="F56" s="5"/>
      <c r="G56" s="5"/>
      <c r="H56" s="5"/>
      <c r="I56" s="5"/>
      <c r="J56" s="269"/>
    </row>
    <row r="57" spans="1:19" x14ac:dyDescent="0.25">
      <c r="A57" s="5"/>
      <c r="B57" s="5"/>
      <c r="C57" s="268"/>
      <c r="D57" s="5"/>
      <c r="E57" s="5"/>
      <c r="F57" s="5"/>
      <c r="G57" s="5"/>
      <c r="H57" s="5"/>
      <c r="I57" s="5"/>
      <c r="J57" s="269"/>
    </row>
    <row r="58" spans="1:19" x14ac:dyDescent="0.25">
      <c r="A58" s="270"/>
      <c r="B58" s="271"/>
      <c r="C58" s="272"/>
      <c r="D58" s="271"/>
      <c r="E58" s="271"/>
      <c r="F58" s="271"/>
      <c r="G58" s="5"/>
      <c r="H58" s="5"/>
      <c r="I58" s="5"/>
      <c r="J58" s="5"/>
    </row>
    <row r="70" spans="9:9" x14ac:dyDescent="0.25">
      <c r="I70">
        <v>5200000</v>
      </c>
    </row>
  </sheetData>
  <mergeCells count="28">
    <mergeCell ref="F20:F22"/>
    <mergeCell ref="S20:S22"/>
    <mergeCell ref="A26:A30"/>
    <mergeCell ref="T28:T29"/>
    <mergeCell ref="A41:A46"/>
    <mergeCell ref="A47:D47"/>
    <mergeCell ref="A11:A18"/>
    <mergeCell ref="B12:B15"/>
    <mergeCell ref="C12:C15"/>
    <mergeCell ref="A19:A25"/>
    <mergeCell ref="B20:B22"/>
    <mergeCell ref="C20:C22"/>
    <mergeCell ref="P2:P3"/>
    <mergeCell ref="Q2:Q3"/>
    <mergeCell ref="R2:R3"/>
    <mergeCell ref="S2:S3"/>
    <mergeCell ref="T2:T3"/>
    <mergeCell ref="A4:A10"/>
    <mergeCell ref="A1:S1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B32:B35 B2 B11:B12 B24:B26 B28 B19:B20">
    <cfRule type="duplicateValues" dxfId="1" priority="2"/>
  </conditionalFormatting>
  <conditionalFormatting sqref="B29">
    <cfRule type="duplicateValue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:C6"/>
    </sheetView>
  </sheetViews>
  <sheetFormatPr defaultRowHeight="15" x14ac:dyDescent="0.25"/>
  <cols>
    <col min="2" max="2" width="75" customWidth="1"/>
  </cols>
  <sheetData>
    <row r="1" spans="1:3" x14ac:dyDescent="0.25">
      <c r="A1" s="273" t="s">
        <v>270</v>
      </c>
      <c r="B1" s="273" t="s">
        <v>271</v>
      </c>
      <c r="C1" s="273" t="s">
        <v>100</v>
      </c>
    </row>
    <row r="2" spans="1:3" ht="87.75" customHeight="1" x14ac:dyDescent="0.25">
      <c r="A2" s="274">
        <v>1</v>
      </c>
      <c r="B2" s="275" t="s">
        <v>267</v>
      </c>
      <c r="C2" s="274">
        <v>208</v>
      </c>
    </row>
    <row r="3" spans="1:3" ht="45" x14ac:dyDescent="0.25">
      <c r="A3" s="274">
        <v>2</v>
      </c>
      <c r="B3" s="276" t="s">
        <v>268</v>
      </c>
      <c r="C3" s="274">
        <v>100</v>
      </c>
    </row>
    <row r="4" spans="1:3" ht="90" x14ac:dyDescent="0.25">
      <c r="A4" s="274">
        <v>3</v>
      </c>
      <c r="B4" s="276" t="s">
        <v>269</v>
      </c>
      <c r="C4" s="274">
        <v>165</v>
      </c>
    </row>
    <row r="5" spans="1:3" ht="30" x14ac:dyDescent="0.25">
      <c r="A5" s="277">
        <v>4</v>
      </c>
      <c r="B5" s="276" t="s">
        <v>272</v>
      </c>
      <c r="C5" s="277">
        <v>8</v>
      </c>
    </row>
    <row r="6" spans="1:3" ht="30" x14ac:dyDescent="0.25">
      <c r="A6" s="277">
        <v>5</v>
      </c>
      <c r="B6" s="278" t="s">
        <v>273</v>
      </c>
      <c r="C6" s="27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Dell</vt:lpstr>
      <vt:lpstr>HP</vt:lpstr>
      <vt:lpstr>Dell lainnya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</dc:creator>
  <cp:lastModifiedBy>AIDA</cp:lastModifiedBy>
  <dcterms:created xsi:type="dcterms:W3CDTF">2026-09-08T03:22:45Z</dcterms:created>
  <dcterms:modified xsi:type="dcterms:W3CDTF">2026-09-08T03:28:06Z</dcterms:modified>
</cp:coreProperties>
</file>